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1159B65-750A-4ED6-96C4-857E51573245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G403" sheetId="1" r:id="rId1"/>
    <sheet name="G404" sheetId="2" r:id="rId2"/>
    <sheet name="S403" sheetId="4" r:id="rId3"/>
    <sheet name="S404" sheetId="5" r:id="rId4"/>
    <sheet name="تحویلیان" sheetId="6" r:id="rId5"/>
    <sheet name="کم و کسر جنرال" sheetId="7" r:id="rId6"/>
    <sheet name="کم و کسر سوپر" sheetId="8" r:id="rId7"/>
  </sheets>
  <definedNames>
    <definedName name="_xlnm._FilterDatabase" localSheetId="3" hidden="1">'S404'!$A$1:$K$117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7" i="4" l="1"/>
  <c r="H109" i="5"/>
  <c r="K109" i="5" s="1"/>
  <c r="I109" i="5"/>
  <c r="D119" i="5"/>
  <c r="D126" i="5" s="1"/>
  <c r="F11" i="6"/>
  <c r="F2" i="6"/>
  <c r="F3" i="6"/>
  <c r="F4" i="6"/>
  <c r="F5" i="6"/>
  <c r="F6" i="6"/>
  <c r="F7" i="6"/>
  <c r="F8" i="6"/>
  <c r="F9" i="6"/>
  <c r="F10" i="6"/>
  <c r="F14" i="6"/>
  <c r="F15" i="6"/>
  <c r="F16" i="6"/>
  <c r="F17" i="6"/>
  <c r="F18" i="6"/>
  <c r="F12" i="6"/>
  <c r="F13" i="6"/>
  <c r="F19" i="6"/>
  <c r="F20" i="6"/>
  <c r="F22" i="6"/>
  <c r="F21" i="6"/>
  <c r="F24" i="6"/>
  <c r="F26" i="6"/>
  <c r="F27" i="6"/>
  <c r="F47" i="6"/>
  <c r="H115" i="5"/>
  <c r="K115" i="5" s="1"/>
  <c r="H97" i="5"/>
  <c r="K97" i="5" s="1"/>
  <c r="I97" i="5"/>
  <c r="I115" i="5"/>
  <c r="C119" i="5"/>
  <c r="C126" i="5" s="1"/>
  <c r="E119" i="5"/>
  <c r="E126" i="5" s="1"/>
  <c r="F119" i="5"/>
  <c r="G119" i="5"/>
  <c r="B119" i="5"/>
  <c r="B126" i="5" s="1"/>
  <c r="H87" i="5"/>
  <c r="K87" i="5" s="1"/>
  <c r="I87" i="5"/>
  <c r="H88" i="5"/>
  <c r="K88" i="5" s="1"/>
  <c r="I88" i="5"/>
  <c r="H89" i="5"/>
  <c r="K89" i="5" s="1"/>
  <c r="I89" i="5"/>
  <c r="H90" i="5"/>
  <c r="K90" i="5" s="1"/>
  <c r="I90" i="5"/>
  <c r="H91" i="5"/>
  <c r="K91" i="5" s="1"/>
  <c r="I91" i="5"/>
  <c r="H92" i="5"/>
  <c r="K92" i="5" s="1"/>
  <c r="I92" i="5"/>
  <c r="H93" i="5"/>
  <c r="K93" i="5" s="1"/>
  <c r="I93" i="5"/>
  <c r="H94" i="5"/>
  <c r="K94" i="5" s="1"/>
  <c r="I94" i="5"/>
  <c r="H95" i="5"/>
  <c r="K95" i="5" s="1"/>
  <c r="I95" i="5"/>
  <c r="H96" i="5"/>
  <c r="K96" i="5" s="1"/>
  <c r="I96" i="5"/>
  <c r="H98" i="5"/>
  <c r="K98" i="5" s="1"/>
  <c r="I98" i="5"/>
  <c r="H99" i="5"/>
  <c r="K99" i="5" s="1"/>
  <c r="I99" i="5"/>
  <c r="H100" i="5"/>
  <c r="K100" i="5" s="1"/>
  <c r="I100" i="5"/>
  <c r="H101" i="5"/>
  <c r="K101" i="5" s="1"/>
  <c r="I101" i="5"/>
  <c r="H102" i="5"/>
  <c r="K102" i="5" s="1"/>
  <c r="I102" i="5"/>
  <c r="H103" i="5"/>
  <c r="K103" i="5" s="1"/>
  <c r="I103" i="5"/>
  <c r="H104" i="5"/>
  <c r="K104" i="5" s="1"/>
  <c r="I104" i="5"/>
  <c r="H105" i="5"/>
  <c r="K105" i="5" s="1"/>
  <c r="I105" i="5"/>
  <c r="H106" i="5"/>
  <c r="K106" i="5" s="1"/>
  <c r="I106" i="5"/>
  <c r="H107" i="5"/>
  <c r="K107" i="5" s="1"/>
  <c r="I107" i="5"/>
  <c r="H108" i="5"/>
  <c r="K108" i="5" s="1"/>
  <c r="I108" i="5"/>
  <c r="H110" i="5"/>
  <c r="K110" i="5" s="1"/>
  <c r="I110" i="5"/>
  <c r="H111" i="5"/>
  <c r="K111" i="5" s="1"/>
  <c r="I111" i="5"/>
  <c r="H112" i="5"/>
  <c r="K112" i="5" s="1"/>
  <c r="I112" i="5"/>
  <c r="H113" i="5"/>
  <c r="K113" i="5" s="1"/>
  <c r="I113" i="5"/>
  <c r="H114" i="5"/>
  <c r="K114" i="5" s="1"/>
  <c r="I114" i="5"/>
  <c r="H116" i="5"/>
  <c r="K116" i="5" s="1"/>
  <c r="I116" i="5"/>
  <c r="H86" i="5"/>
  <c r="K86" i="5" s="1"/>
  <c r="I86" i="5"/>
  <c r="J80" i="5"/>
  <c r="K80" i="5"/>
  <c r="J77" i="5"/>
  <c r="K77" i="5"/>
  <c r="J76" i="5"/>
  <c r="K76" i="5"/>
  <c r="J47" i="5"/>
  <c r="J39" i="5"/>
  <c r="K39" i="5"/>
  <c r="K38" i="5"/>
  <c r="J26" i="5"/>
  <c r="K26" i="5"/>
  <c r="J24" i="5"/>
  <c r="K24" i="5"/>
  <c r="C83" i="5"/>
  <c r="C121" i="5" s="1"/>
  <c r="D83" i="5"/>
  <c r="D121" i="5" s="1"/>
  <c r="E83" i="5"/>
  <c r="E120" i="5" s="1"/>
  <c r="F83" i="5"/>
  <c r="F121" i="5" s="1"/>
  <c r="G83" i="5"/>
  <c r="G121" i="5" s="1"/>
  <c r="H83" i="5"/>
  <c r="H120" i="5" s="1"/>
  <c r="I83" i="5"/>
  <c r="I120" i="5" s="1"/>
  <c r="J3" i="5"/>
  <c r="K3" i="5"/>
  <c r="J4" i="5"/>
  <c r="K4" i="5"/>
  <c r="J5" i="5"/>
  <c r="K5" i="5"/>
  <c r="J6" i="5"/>
  <c r="K6" i="5"/>
  <c r="J7" i="5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5" i="5"/>
  <c r="K25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J40" i="5"/>
  <c r="K40" i="5"/>
  <c r="J41" i="5"/>
  <c r="K41" i="5"/>
  <c r="J42" i="5"/>
  <c r="K42" i="5"/>
  <c r="J43" i="5"/>
  <c r="K43" i="5"/>
  <c r="J44" i="5"/>
  <c r="K44" i="5"/>
  <c r="J45" i="5"/>
  <c r="K45" i="5"/>
  <c r="J46" i="5"/>
  <c r="K46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J70" i="5"/>
  <c r="K70" i="5"/>
  <c r="J71" i="5"/>
  <c r="K71" i="5"/>
  <c r="J72" i="5"/>
  <c r="K72" i="5"/>
  <c r="J73" i="5"/>
  <c r="K73" i="5"/>
  <c r="J74" i="5"/>
  <c r="K74" i="5"/>
  <c r="J75" i="5"/>
  <c r="K75" i="5"/>
  <c r="J78" i="5"/>
  <c r="K78" i="5"/>
  <c r="K79" i="5"/>
  <c r="J81" i="5"/>
  <c r="K81" i="5"/>
  <c r="J2" i="5"/>
  <c r="K2" i="5"/>
  <c r="B79" i="5"/>
  <c r="J79" i="5" s="1"/>
  <c r="M133" i="4"/>
  <c r="I131" i="4" s="1"/>
  <c r="L131" i="4" s="1"/>
  <c r="I115" i="4"/>
  <c r="L115" i="4" s="1"/>
  <c r="I122" i="4"/>
  <c r="L122" i="4" s="1"/>
  <c r="I130" i="4"/>
  <c r="K18" i="4"/>
  <c r="K10" i="4"/>
  <c r="K11" i="4"/>
  <c r="K12" i="4"/>
  <c r="K13" i="4"/>
  <c r="K14" i="4"/>
  <c r="K15" i="4"/>
  <c r="K16" i="4"/>
  <c r="K17" i="4"/>
  <c r="K7" i="4"/>
  <c r="K6" i="4"/>
  <c r="K8" i="4"/>
  <c r="K9" i="4"/>
  <c r="K5" i="4"/>
  <c r="K4" i="4"/>
  <c r="K3" i="4"/>
  <c r="C150" i="4"/>
  <c r="D150" i="4"/>
  <c r="E150" i="4"/>
  <c r="F150" i="4"/>
  <c r="G150" i="4"/>
  <c r="I150" i="4"/>
  <c r="D149" i="4"/>
  <c r="E149" i="4"/>
  <c r="F149" i="4"/>
  <c r="G149" i="4"/>
  <c r="H149" i="4"/>
  <c r="B162" i="4"/>
  <c r="L125" i="4"/>
  <c r="L126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12" i="4"/>
  <c r="I116" i="4"/>
  <c r="L116" i="4" s="1"/>
  <c r="I117" i="4"/>
  <c r="L117" i="4" s="1"/>
  <c r="I118" i="4"/>
  <c r="L118" i="4" s="1"/>
  <c r="I119" i="4"/>
  <c r="L119" i="4" s="1"/>
  <c r="I120" i="4"/>
  <c r="L120" i="4" s="1"/>
  <c r="I121" i="4"/>
  <c r="L121" i="4" s="1"/>
  <c r="I125" i="4"/>
  <c r="I126" i="4"/>
  <c r="I127" i="4"/>
  <c r="L127" i="4" s="1"/>
  <c r="I128" i="4"/>
  <c r="L128" i="4" s="1"/>
  <c r="I129" i="4"/>
  <c r="L129" i="4" s="1"/>
  <c r="I136" i="4"/>
  <c r="L136" i="4" s="1"/>
  <c r="I143" i="4"/>
  <c r="L143" i="4" s="1"/>
  <c r="B149" i="4"/>
  <c r="I132" i="4"/>
  <c r="L132" i="4" s="1"/>
  <c r="I133" i="4"/>
  <c r="L133" i="4" s="1"/>
  <c r="I134" i="4"/>
  <c r="L134" i="4" s="1"/>
  <c r="I135" i="4"/>
  <c r="L135" i="4" s="1"/>
  <c r="I137" i="4"/>
  <c r="L137" i="4" s="1"/>
  <c r="I138" i="4"/>
  <c r="L138" i="4" s="1"/>
  <c r="I139" i="4"/>
  <c r="L139" i="4" s="1"/>
  <c r="I140" i="4"/>
  <c r="L140" i="4" s="1"/>
  <c r="I141" i="4"/>
  <c r="L141" i="4" s="1"/>
  <c r="I142" i="4"/>
  <c r="L142" i="4" s="1"/>
  <c r="I144" i="4"/>
  <c r="L144" i="4" s="1"/>
  <c r="I145" i="4"/>
  <c r="L145" i="4" s="1"/>
  <c r="I146" i="4"/>
  <c r="L146" i="4" s="1"/>
  <c r="I147" i="4"/>
  <c r="L147" i="4" s="1"/>
  <c r="I148" i="4"/>
  <c r="L148" i="4" s="1"/>
  <c r="I124" i="4"/>
  <c r="L124" i="4" s="1"/>
  <c r="I112" i="4"/>
  <c r="L112" i="4" s="1"/>
  <c r="I113" i="4"/>
  <c r="L113" i="4" s="1"/>
  <c r="I114" i="4"/>
  <c r="L114" i="4" s="1"/>
  <c r="I123" i="4"/>
  <c r="L123" i="4" s="1"/>
  <c r="I78" i="4"/>
  <c r="I66" i="4"/>
  <c r="I54" i="4"/>
  <c r="I34" i="4"/>
  <c r="E31" i="4"/>
  <c r="E109" i="4" s="1"/>
  <c r="C109" i="4"/>
  <c r="D109" i="4"/>
  <c r="F109" i="4"/>
  <c r="G109" i="4"/>
  <c r="H109" i="4"/>
  <c r="B109" i="4"/>
  <c r="I75" i="4"/>
  <c r="I76" i="4"/>
  <c r="I77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2" i="4"/>
  <c r="I33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5" i="4"/>
  <c r="I56" i="4"/>
  <c r="I57" i="4"/>
  <c r="I58" i="4"/>
  <c r="I59" i="4"/>
  <c r="I60" i="4"/>
  <c r="I61" i="4"/>
  <c r="I62" i="4"/>
  <c r="I63" i="4"/>
  <c r="I64" i="4"/>
  <c r="I65" i="4"/>
  <c r="I67" i="4"/>
  <c r="I68" i="4"/>
  <c r="I69" i="4"/>
  <c r="I70" i="4"/>
  <c r="I71" i="4"/>
  <c r="I72" i="4"/>
  <c r="I73" i="4"/>
  <c r="I74" i="4"/>
  <c r="I2" i="4"/>
  <c r="A70" i="1"/>
  <c r="A69" i="1"/>
  <c r="E74" i="1"/>
  <c r="A68" i="1"/>
  <c r="B102" i="2"/>
  <c r="D109" i="2"/>
  <c r="C111" i="2"/>
  <c r="C112" i="2" s="1"/>
  <c r="D111" i="2"/>
  <c r="D112" i="2" s="1"/>
  <c r="E111" i="2"/>
  <c r="E112" i="2" s="1"/>
  <c r="F111" i="2"/>
  <c r="F112" i="2" s="1"/>
  <c r="G111" i="2"/>
  <c r="G112" i="2" s="1"/>
  <c r="H111" i="2"/>
  <c r="H112" i="2" s="1"/>
  <c r="I111" i="2"/>
  <c r="I112" i="2" s="1"/>
  <c r="J111" i="2"/>
  <c r="J112" i="2" s="1"/>
  <c r="B111" i="2"/>
  <c r="B112" i="2" s="1"/>
  <c r="J72" i="2"/>
  <c r="B105" i="2" s="1"/>
  <c r="H76" i="2"/>
  <c r="J76" i="2" s="1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75" i="2"/>
  <c r="J75" i="2" s="1"/>
  <c r="C96" i="2"/>
  <c r="F96" i="2"/>
  <c r="G96" i="2"/>
  <c r="B96" i="2"/>
  <c r="D99" i="2"/>
  <c r="E99" i="2"/>
  <c r="H99" i="2"/>
  <c r="I99" i="2"/>
  <c r="J97" i="2"/>
  <c r="J99" i="2" s="1"/>
  <c r="B68" i="2"/>
  <c r="C54" i="2"/>
  <c r="C55" i="2" s="1"/>
  <c r="C97" i="2" s="1"/>
  <c r="C99" i="2" s="1"/>
  <c r="D54" i="2"/>
  <c r="E54" i="2"/>
  <c r="F54" i="2"/>
  <c r="G54" i="2"/>
  <c r="G55" i="2" s="1"/>
  <c r="G97" i="2" s="1"/>
  <c r="G99" i="2" s="1"/>
  <c r="H54" i="2"/>
  <c r="I54" i="2"/>
  <c r="J54" i="2"/>
  <c r="B54" i="2"/>
  <c r="K45" i="2"/>
  <c r="K4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6" i="2"/>
  <c r="K47" i="2"/>
  <c r="K49" i="2"/>
  <c r="K50" i="2"/>
  <c r="K51" i="2"/>
  <c r="K52" i="2"/>
  <c r="K2" i="2"/>
  <c r="F50" i="1"/>
  <c r="G50" i="1"/>
  <c r="D50" i="1"/>
  <c r="E50" i="1"/>
  <c r="J50" i="1"/>
  <c r="C50" i="1"/>
  <c r="B50" i="1"/>
  <c r="I45" i="1"/>
  <c r="I50" i="1" s="1"/>
  <c r="H30" i="1"/>
  <c r="H3" i="1"/>
  <c r="K117" i="5" l="1"/>
  <c r="C130" i="5" s="1"/>
  <c r="C131" i="5" s="1"/>
  <c r="G124" i="5"/>
  <c r="F124" i="5"/>
  <c r="E127" i="5"/>
  <c r="G126" i="5"/>
  <c r="F126" i="5"/>
  <c r="J119" i="5"/>
  <c r="D124" i="5"/>
  <c r="C124" i="5"/>
  <c r="E121" i="5"/>
  <c r="E124" i="5" s="1"/>
  <c r="E125" i="5" s="1"/>
  <c r="G120" i="5"/>
  <c r="F120" i="5"/>
  <c r="D120" i="5"/>
  <c r="D127" i="5" s="1"/>
  <c r="C120" i="5"/>
  <c r="C127" i="5" s="1"/>
  <c r="B83" i="5"/>
  <c r="B120" i="5" s="1"/>
  <c r="B127" i="5" s="1"/>
  <c r="J83" i="5"/>
  <c r="L130" i="4"/>
  <c r="I149" i="4"/>
  <c r="C149" i="4"/>
  <c r="L149" i="4"/>
  <c r="B155" i="4" s="1"/>
  <c r="E151" i="4"/>
  <c r="B150" i="4"/>
  <c r="G151" i="4"/>
  <c r="D151" i="4"/>
  <c r="F151" i="4"/>
  <c r="C151" i="4"/>
  <c r="I31" i="4"/>
  <c r="I109" i="4" s="1"/>
  <c r="B107" i="2"/>
  <c r="C100" i="2"/>
  <c r="J94" i="2"/>
  <c r="B104" i="2" s="1"/>
  <c r="E100" i="2"/>
  <c r="D100" i="2"/>
  <c r="G100" i="2"/>
  <c r="I100" i="2"/>
  <c r="H100" i="2"/>
  <c r="B55" i="2"/>
  <c r="B97" i="2" s="1"/>
  <c r="B99" i="2" s="1"/>
  <c r="B100" i="2" s="1"/>
  <c r="F55" i="2"/>
  <c r="F97" i="2" s="1"/>
  <c r="F99" i="2" s="1"/>
  <c r="F100" i="2" s="1"/>
  <c r="B56" i="2"/>
  <c r="H50" i="1"/>
  <c r="G125" i="5" l="1"/>
  <c r="C125" i="5"/>
  <c r="F125" i="5"/>
  <c r="D125" i="5"/>
  <c r="G127" i="5"/>
  <c r="F127" i="5"/>
  <c r="J120" i="5"/>
  <c r="B121" i="5"/>
  <c r="B156" i="4"/>
  <c r="B153" i="4"/>
  <c r="I151" i="4"/>
  <c r="B151" i="4"/>
  <c r="K50" i="1"/>
  <c r="B76" i="1" s="1"/>
  <c r="B108" i="2"/>
  <c r="B69" i="2"/>
  <c r="B70" i="2" s="1"/>
  <c r="J121" i="5" l="1"/>
  <c r="C128" i="5" s="1"/>
  <c r="B132" i="5" s="1"/>
  <c r="B124" i="5"/>
  <c r="B125" i="5" s="1"/>
  <c r="B159" i="4"/>
  <c r="B158" i="4"/>
  <c r="E76" i="1"/>
  <c r="F76" i="1"/>
  <c r="F74" i="1"/>
  <c r="J93" i="2" a="1"/>
  <c r="J93" i="2" s="1"/>
  <c r="J100" i="2"/>
  <c r="B133" i="5" l="1"/>
  <c r="B134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<sst xmlns="http://schemas.openxmlformats.org/spreadsheetml/2006/main" count="557" uniqueCount="333">
  <si>
    <t>مشکی کوتاه</t>
  </si>
  <si>
    <t xml:space="preserve">مشکی بلند </t>
  </si>
  <si>
    <t xml:space="preserve">آبی کوتاه </t>
  </si>
  <si>
    <t>آبی بلند</t>
  </si>
  <si>
    <t xml:space="preserve">طوسی </t>
  </si>
  <si>
    <t>کرم</t>
  </si>
  <si>
    <t>سرمه ای</t>
  </si>
  <si>
    <t>سبز</t>
  </si>
  <si>
    <t>تاریخ</t>
  </si>
  <si>
    <t>1/25</t>
  </si>
  <si>
    <t>2/3</t>
  </si>
  <si>
    <t>2/4</t>
  </si>
  <si>
    <t>2/10</t>
  </si>
  <si>
    <t>2/16</t>
  </si>
  <si>
    <t>3/19</t>
  </si>
  <si>
    <t>3/20</t>
  </si>
  <si>
    <t>3/23</t>
  </si>
  <si>
    <t>4/6</t>
  </si>
  <si>
    <t>4/7</t>
  </si>
  <si>
    <t>4/9</t>
  </si>
  <si>
    <t>4/16</t>
  </si>
  <si>
    <t>4/30</t>
  </si>
  <si>
    <t>5/1</t>
  </si>
  <si>
    <t>5/21</t>
  </si>
  <si>
    <t>5/24</t>
  </si>
  <si>
    <t>5/25</t>
  </si>
  <si>
    <t>5/29</t>
  </si>
  <si>
    <t>6/1</t>
  </si>
  <si>
    <t>6/25</t>
  </si>
  <si>
    <t>6/26</t>
  </si>
  <si>
    <t>6/27</t>
  </si>
  <si>
    <t>7/28</t>
  </si>
  <si>
    <t>8/2</t>
  </si>
  <si>
    <t>8/6</t>
  </si>
  <si>
    <t>8/16</t>
  </si>
  <si>
    <t>8/17</t>
  </si>
  <si>
    <t>8/20</t>
  </si>
  <si>
    <t>9/8</t>
  </si>
  <si>
    <t>9/10</t>
  </si>
  <si>
    <t>9/12</t>
  </si>
  <si>
    <t>9/14</t>
  </si>
  <si>
    <t>9/26</t>
  </si>
  <si>
    <t>9/27</t>
  </si>
  <si>
    <t>9/28</t>
  </si>
  <si>
    <t>10/10</t>
  </si>
  <si>
    <t>10/13</t>
  </si>
  <si>
    <t>10/22</t>
  </si>
  <si>
    <t>10/30</t>
  </si>
  <si>
    <t>11/30</t>
  </si>
  <si>
    <t>12/02</t>
  </si>
  <si>
    <t>12/04</t>
  </si>
  <si>
    <t>12/5</t>
  </si>
  <si>
    <t>12/7</t>
  </si>
  <si>
    <t>12/09</t>
  </si>
  <si>
    <t>49</t>
  </si>
  <si>
    <t>58</t>
  </si>
  <si>
    <t>103</t>
  </si>
  <si>
    <t>98</t>
  </si>
  <si>
    <t>254</t>
  </si>
  <si>
    <t>37</t>
  </si>
  <si>
    <t>48</t>
  </si>
  <si>
    <t>52</t>
  </si>
  <si>
    <t>57</t>
  </si>
  <si>
    <t>63</t>
  </si>
  <si>
    <t>99</t>
  </si>
  <si>
    <t>255</t>
  </si>
  <si>
    <t>53</t>
  </si>
  <si>
    <t>43</t>
  </si>
  <si>
    <t>پول رنگ</t>
  </si>
  <si>
    <t>پول خام</t>
  </si>
  <si>
    <t>فی پارچه</t>
  </si>
  <si>
    <t>هزینه پرداختی</t>
  </si>
  <si>
    <t>فی خام</t>
  </si>
  <si>
    <t>فی رنگ</t>
  </si>
  <si>
    <t>کسری</t>
  </si>
  <si>
    <t>سفید</t>
  </si>
  <si>
    <t>2/7</t>
  </si>
  <si>
    <t>2/8</t>
  </si>
  <si>
    <t>2/17</t>
  </si>
  <si>
    <t>2/20</t>
  </si>
  <si>
    <t>2/21</t>
  </si>
  <si>
    <t>2/28</t>
  </si>
  <si>
    <t>2/29</t>
  </si>
  <si>
    <t>2/30</t>
  </si>
  <si>
    <t>2/31</t>
  </si>
  <si>
    <t>3/25</t>
  </si>
  <si>
    <t>4/24</t>
  </si>
  <si>
    <t>5/20</t>
  </si>
  <si>
    <t>5/27</t>
  </si>
  <si>
    <t>6/15</t>
  </si>
  <si>
    <t>5/16</t>
  </si>
  <si>
    <t>6/03</t>
  </si>
  <si>
    <t>5/09</t>
  </si>
  <si>
    <t>4/04</t>
  </si>
  <si>
    <t>12/23</t>
  </si>
  <si>
    <t>12/18</t>
  </si>
  <si>
    <t>11/26</t>
  </si>
  <si>
    <t>11/25</t>
  </si>
  <si>
    <t>11/23</t>
  </si>
  <si>
    <t>11/21</t>
  </si>
  <si>
    <t>11/20</t>
  </si>
  <si>
    <t>9/23</t>
  </si>
  <si>
    <t>9/20</t>
  </si>
  <si>
    <t>9/19</t>
  </si>
  <si>
    <t>9/1</t>
  </si>
  <si>
    <t>8/28</t>
  </si>
  <si>
    <t>8/19</t>
  </si>
  <si>
    <t>8/14</t>
  </si>
  <si>
    <t>8/13</t>
  </si>
  <si>
    <t>7/14</t>
  </si>
  <si>
    <t>7/10</t>
  </si>
  <si>
    <t>7/08</t>
  </si>
  <si>
    <t>7/06</t>
  </si>
  <si>
    <t>6/20</t>
  </si>
  <si>
    <t>6/17</t>
  </si>
  <si>
    <t>6/16</t>
  </si>
  <si>
    <t>کل</t>
  </si>
  <si>
    <t>جمع ها</t>
  </si>
  <si>
    <t>کل وزن ها</t>
  </si>
  <si>
    <t>فاکتور جنرال</t>
  </si>
  <si>
    <t>3/27</t>
  </si>
  <si>
    <t>5/30</t>
  </si>
  <si>
    <t>6/18</t>
  </si>
  <si>
    <t>7/7</t>
  </si>
  <si>
    <t>9/16</t>
  </si>
  <si>
    <t>12/9</t>
  </si>
  <si>
    <t>وزن ورودی ها</t>
  </si>
  <si>
    <t>اختلاف</t>
  </si>
  <si>
    <t>کل وزن جنرال</t>
  </si>
  <si>
    <t>مبلغ ها</t>
  </si>
  <si>
    <t>حاج حمید</t>
  </si>
  <si>
    <t>2/12</t>
  </si>
  <si>
    <t>2/19</t>
  </si>
  <si>
    <t>6/7</t>
  </si>
  <si>
    <t>6/31</t>
  </si>
  <si>
    <t>8/9</t>
  </si>
  <si>
    <t>8/18</t>
  </si>
  <si>
    <t>9/11</t>
  </si>
  <si>
    <t>11/13</t>
  </si>
  <si>
    <t>3/18</t>
  </si>
  <si>
    <t>5/4</t>
  </si>
  <si>
    <t>9/9</t>
  </si>
  <si>
    <t>12/03</t>
  </si>
  <si>
    <t>خام</t>
  </si>
  <si>
    <t xml:space="preserve"> آمده - 4 تایی</t>
  </si>
  <si>
    <t>2/01</t>
  </si>
  <si>
    <t>باید عه</t>
  </si>
  <si>
    <t>کمی خام -&gt;</t>
  </si>
  <si>
    <t>===</t>
  </si>
  <si>
    <t>وزن خام ها</t>
  </si>
  <si>
    <t xml:space="preserve">فی خام </t>
  </si>
  <si>
    <t xml:space="preserve">فی رنگ </t>
  </si>
  <si>
    <t>رنگ  هر کیلو</t>
  </si>
  <si>
    <t>خام هر کیلو</t>
  </si>
  <si>
    <t>حدوده</t>
  </si>
  <si>
    <t>فی کل</t>
  </si>
  <si>
    <t>مشکی 16 ک</t>
  </si>
  <si>
    <t>آبی کوتاه 16 ک</t>
  </si>
  <si>
    <t>620</t>
  </si>
  <si>
    <t>625</t>
  </si>
  <si>
    <t>704</t>
  </si>
  <si>
    <t>705</t>
  </si>
  <si>
    <t>718</t>
  </si>
  <si>
    <t>719</t>
  </si>
  <si>
    <t>801</t>
  </si>
  <si>
    <t>803</t>
  </si>
  <si>
    <t>805</t>
  </si>
  <si>
    <t>812</t>
  </si>
  <si>
    <t>813</t>
  </si>
  <si>
    <t>814</t>
  </si>
  <si>
    <t>819</t>
  </si>
  <si>
    <t>914</t>
  </si>
  <si>
    <t>917</t>
  </si>
  <si>
    <t>918</t>
  </si>
  <si>
    <t>بار تحویلی</t>
  </si>
  <si>
    <t>جمع کل</t>
  </si>
  <si>
    <t>تحویلی خام</t>
  </si>
  <si>
    <t>خام ها</t>
  </si>
  <si>
    <t>رنگ ها</t>
  </si>
  <si>
    <t>چهار تایی</t>
  </si>
  <si>
    <t>&lt;----</t>
  </si>
  <si>
    <t>فی رنگ/ کیلو</t>
  </si>
  <si>
    <t>فی خام / کیلو</t>
  </si>
  <si>
    <t>وزن ورودی</t>
  </si>
  <si>
    <t>921</t>
  </si>
  <si>
    <t>922</t>
  </si>
  <si>
    <t>1226</t>
  </si>
  <si>
    <t>1221</t>
  </si>
  <si>
    <t>1220</t>
  </si>
  <si>
    <t>1219</t>
  </si>
  <si>
    <t>1218</t>
  </si>
  <si>
    <t>1216</t>
  </si>
  <si>
    <t>1213</t>
  </si>
  <si>
    <t>1211</t>
  </si>
  <si>
    <t>1127</t>
  </si>
  <si>
    <t>1125</t>
  </si>
  <si>
    <t>1123</t>
  </si>
  <si>
    <t>1120</t>
  </si>
  <si>
    <t>1113</t>
  </si>
  <si>
    <t>1106</t>
  </si>
  <si>
    <t>1103</t>
  </si>
  <si>
    <t>1102</t>
  </si>
  <si>
    <t>1101</t>
  </si>
  <si>
    <t>1030</t>
  </si>
  <si>
    <t>1027</t>
  </si>
  <si>
    <t>1026</t>
  </si>
  <si>
    <t>1024</t>
  </si>
  <si>
    <t>1023</t>
  </si>
  <si>
    <t>1022</t>
  </si>
  <si>
    <t>1020</t>
  </si>
  <si>
    <t>1012</t>
  </si>
  <si>
    <t>1011</t>
  </si>
  <si>
    <t>1009</t>
  </si>
  <si>
    <t>924</t>
  </si>
  <si>
    <t>کل پارچه های ورودی</t>
  </si>
  <si>
    <t>جمع ستونی</t>
  </si>
  <si>
    <t>کل کل:</t>
  </si>
  <si>
    <t>مشکی</t>
  </si>
  <si>
    <t>مشکی 16</t>
  </si>
  <si>
    <t>مشکی بلند</t>
  </si>
  <si>
    <t>آبی</t>
  </si>
  <si>
    <t>آبی 16</t>
  </si>
  <si>
    <t>طوسی</t>
  </si>
  <si>
    <t>0208</t>
  </si>
  <si>
    <t>0212</t>
  </si>
  <si>
    <t>0216</t>
  </si>
  <si>
    <t>0222</t>
  </si>
  <si>
    <t>0220</t>
  </si>
  <si>
    <t>0223</t>
  </si>
  <si>
    <t>0224</t>
  </si>
  <si>
    <t>0226</t>
  </si>
  <si>
    <t>0227</t>
  </si>
  <si>
    <t>0301</t>
  </si>
  <si>
    <t>0308</t>
  </si>
  <si>
    <t>0309</t>
  </si>
  <si>
    <t>0310</t>
  </si>
  <si>
    <t>0315</t>
  </si>
  <si>
    <t>0316</t>
  </si>
  <si>
    <t>0317</t>
  </si>
  <si>
    <t>0319</t>
  </si>
  <si>
    <t>0928</t>
  </si>
  <si>
    <t>530</t>
  </si>
  <si>
    <t>421</t>
  </si>
  <si>
    <t>0421</t>
  </si>
  <si>
    <t>1010</t>
  </si>
  <si>
    <t>0230</t>
  </si>
  <si>
    <t>0211</t>
  </si>
  <si>
    <t>0217</t>
  </si>
  <si>
    <t>0304</t>
  </si>
  <si>
    <t>0311</t>
  </si>
  <si>
    <t>0327</t>
  </si>
  <si>
    <t>0412</t>
  </si>
  <si>
    <t>0417</t>
  </si>
  <si>
    <t>0516</t>
  </si>
  <si>
    <t>0519</t>
  </si>
  <si>
    <t>0520</t>
  </si>
  <si>
    <t>0527</t>
  </si>
  <si>
    <t>0701</t>
  </si>
  <si>
    <t>0715</t>
  </si>
  <si>
    <t>0724</t>
  </si>
  <si>
    <t>0806</t>
  </si>
  <si>
    <t>0902</t>
  </si>
  <si>
    <t>0910</t>
  </si>
  <si>
    <t>0916</t>
  </si>
  <si>
    <t>1004</t>
  </si>
  <si>
    <t>1016</t>
  </si>
  <si>
    <t>1025</t>
  </si>
  <si>
    <t>1115</t>
  </si>
  <si>
    <t>1028</t>
  </si>
  <si>
    <t>1205</t>
  </si>
  <si>
    <t>1224</t>
  </si>
  <si>
    <t>0820</t>
  </si>
  <si>
    <t>0501</t>
  </si>
  <si>
    <t>0616</t>
  </si>
  <si>
    <t>0325</t>
  </si>
  <si>
    <t>جمع خام ها</t>
  </si>
  <si>
    <t>جمع وردودی ها</t>
  </si>
  <si>
    <t>Okey</t>
  </si>
  <si>
    <t>پرداختی سوپر</t>
  </si>
  <si>
    <t>پرداختی خام</t>
  </si>
  <si>
    <t>فی هر کیلو</t>
  </si>
  <si>
    <t>کل پرداختی ها</t>
  </si>
  <si>
    <t>Goooood</t>
  </si>
  <si>
    <t>Feeee</t>
  </si>
  <si>
    <t>کل وزن ورودی</t>
  </si>
  <si>
    <t>کل پرداختی به سوپر</t>
  </si>
  <si>
    <t>کل پرداختی به خام</t>
  </si>
  <si>
    <t>02/19</t>
  </si>
  <si>
    <t>02/20</t>
  </si>
  <si>
    <t>2/23</t>
  </si>
  <si>
    <t>کل پاچه های ورودی - جمع خام ها</t>
  </si>
  <si>
    <t>---</t>
  </si>
  <si>
    <t>8.29</t>
  </si>
  <si>
    <t>2/22</t>
  </si>
  <si>
    <t>ورودی ها</t>
  </si>
  <si>
    <t xml:space="preserve"> کسری</t>
  </si>
  <si>
    <t>جمع وردودی 6ستونه</t>
  </si>
  <si>
    <t>ورودی منطقی</t>
  </si>
  <si>
    <t>مازاد ورودی</t>
  </si>
  <si>
    <t>درصد کسری</t>
  </si>
  <si>
    <t>3.21</t>
  </si>
  <si>
    <t>اسپان بلند</t>
  </si>
  <si>
    <t>اسپان کوتاه</t>
  </si>
  <si>
    <t>بسته بندی</t>
  </si>
  <si>
    <t>فی</t>
  </si>
  <si>
    <t>12.16</t>
  </si>
  <si>
    <t>11.8</t>
  </si>
  <si>
    <t>190 تا قبل مشکی هادی پور ذغالی بوده</t>
  </si>
  <si>
    <t>طوسی کوتاه جنرال</t>
  </si>
  <si>
    <t>سبز جنرال</t>
  </si>
  <si>
    <t>سفید جنرال</t>
  </si>
  <si>
    <t>کرم جنرال</t>
  </si>
  <si>
    <t>آبی کوتاه جنرال</t>
  </si>
  <si>
    <t>آبی بلند جنرال</t>
  </si>
  <si>
    <t>مشکی کوتاه جنرال</t>
  </si>
  <si>
    <t xml:space="preserve">جنرال سرمه ای </t>
  </si>
  <si>
    <t>مشکی بلند کوتاه جنرال</t>
  </si>
  <si>
    <t>سرمه ای سوپر</t>
  </si>
  <si>
    <t>مشکی بلند سوپر</t>
  </si>
  <si>
    <t>طوسی بلند سو</t>
  </si>
  <si>
    <t>آبی بلند بلند</t>
  </si>
  <si>
    <t>طوسی کوتاه سوپر</t>
  </si>
  <si>
    <t>آبی کوتاه 16</t>
  </si>
  <si>
    <t>مشکی کوتاه 16</t>
  </si>
  <si>
    <t>مشکی کوتاه سوپر</t>
  </si>
  <si>
    <t>آبی کوتاه سوپر</t>
  </si>
  <si>
    <t>15*32</t>
  </si>
  <si>
    <t>19*32</t>
  </si>
  <si>
    <t>18*32</t>
  </si>
  <si>
    <t>نیل درجه 2</t>
  </si>
  <si>
    <t>تو 403</t>
  </si>
  <si>
    <t>تو 404</t>
  </si>
  <si>
    <t>اضافی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</si>
</sst>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7999816888943144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0"/>
      <name val="Agency FB"/>
      <family val="2"/>
    </font>
    <font>
      <sz val="26"/>
      <color theme="0"/>
      <name val="Calibri"/>
      <family val="2"/>
      <scheme val="minor"/>
    </font>
    <font>
      <sz val="48"/>
      <color theme="9"/>
      <name val="Agency FB"/>
      <family val="2"/>
    </font>
    <font>
      <sz val="48"/>
      <color theme="9"/>
      <name val="Calibri"/>
      <family val="2"/>
      <scheme val="minor"/>
    </font>
    <font>
      <b/>
      <sz val="24"/>
      <color theme="9"/>
      <name val="Bauhaus 93"/>
      <family val="5"/>
    </font>
    <font>
      <sz val="11"/>
      <color theme="9" tint="0.79998168889431442"/>
      <name val="Calibri"/>
      <family val="2"/>
      <scheme val="minor"/>
    </font>
    <font>
      <sz val="10"/>
      <color theme="8" tint="0.7999816888943144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10" borderId="0" xfId="0" quotePrefix="1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0" fillId="0" borderId="0" xfId="0" quotePrefix="1"/>
    <xf numFmtId="49" fontId="1" fillId="8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8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2" fillId="11" borderId="1" xfId="0" applyFont="1" applyFill="1" applyBorder="1"/>
    <xf numFmtId="0" fontId="0" fillId="11" borderId="1" xfId="0" applyFill="1" applyBorder="1" applyAlignment="1">
      <alignment horizontal="left" vertical="center"/>
    </xf>
    <xf numFmtId="49" fontId="1" fillId="11" borderId="1" xfId="0" applyNumberFormat="1" applyFont="1" applyFill="1" applyBorder="1"/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3" fillId="14" borderId="0" xfId="0" applyFont="1" applyFill="1" applyAlignment="1">
      <alignment horizontal="left"/>
    </xf>
    <xf numFmtId="49" fontId="1" fillId="14" borderId="1" xfId="0" applyNumberFormat="1" applyFont="1" applyFill="1" applyBorder="1"/>
    <xf numFmtId="0" fontId="0" fillId="14" borderId="0" xfId="0" applyFill="1"/>
    <xf numFmtId="0" fontId="0" fillId="11" borderId="0" xfId="0" applyFill="1" applyBorder="1" applyAlignment="1">
      <alignment horizontal="left"/>
    </xf>
    <xf numFmtId="3" fontId="0" fillId="10" borderId="0" xfId="0" applyNumberFormat="1" applyFill="1"/>
    <xf numFmtId="49" fontId="0" fillId="11" borderId="0" xfId="0" applyNumberFormat="1" applyFill="1"/>
    <xf numFmtId="49" fontId="0" fillId="0" borderId="1" xfId="0" applyNumberFormat="1" applyBorder="1" applyAlignment="1">
      <alignment horizontal="left"/>
    </xf>
    <xf numFmtId="3" fontId="0" fillId="2" borderId="1" xfId="0" applyNumberFormat="1" applyFill="1" applyBorder="1"/>
    <xf numFmtId="0" fontId="4" fillId="11" borderId="1" xfId="0" applyFont="1" applyFill="1" applyBorder="1"/>
    <xf numFmtId="3" fontId="2" fillId="9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0" fontId="4" fillId="15" borderId="1" xfId="0" quotePrefix="1" applyFont="1" applyFill="1" applyBorder="1" applyAlignment="1">
      <alignment horizontal="center" vertical="center"/>
    </xf>
    <xf numFmtId="0" fontId="0" fillId="8" borderId="0" xfId="0" applyFill="1"/>
    <xf numFmtId="3" fontId="0" fillId="8" borderId="1" xfId="0" applyNumberFormat="1" applyFill="1" applyBorder="1" applyAlignment="1">
      <alignment horizontal="left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49" fontId="1" fillId="11" borderId="0" xfId="0" applyNumberFormat="1" applyFont="1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9" fontId="0" fillId="19" borderId="1" xfId="0" applyNumberFormat="1" applyFont="1" applyFill="1" applyBorder="1" applyAlignment="1">
      <alignment horizontal="left" vertical="center"/>
    </xf>
    <xf numFmtId="0" fontId="0" fillId="19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164" fontId="8" fillId="16" borderId="1" xfId="0" applyNumberFormat="1" applyFont="1" applyFill="1" applyBorder="1" applyAlignment="1">
      <alignment horizontal="center" vertical="center"/>
    </xf>
    <xf numFmtId="164" fontId="9" fillId="11" borderId="0" xfId="0" applyNumberFormat="1" applyFont="1" applyFill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top"/>
    </xf>
    <xf numFmtId="164" fontId="10" fillId="17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0" fillId="18" borderId="1" xfId="0" applyNumberFormat="1" applyFont="1" applyFill="1" applyBorder="1" applyAlignment="1">
      <alignment horizontal="center" vertical="center"/>
    </xf>
    <xf numFmtId="164" fontId="11" fillId="20" borderId="1" xfId="0" applyNumberFormat="1" applyFont="1" applyFill="1" applyBorder="1" applyAlignment="1">
      <alignment horizontal="center" vertical="center"/>
    </xf>
    <xf numFmtId="164" fontId="11" fillId="23" borderId="1" xfId="0" applyNumberFormat="1" applyFont="1" applyFill="1" applyBorder="1" applyAlignment="1">
      <alignment horizontal="center" vertical="center"/>
    </xf>
    <xf numFmtId="164" fontId="11" fillId="23" borderId="1" xfId="0" applyNumberFormat="1" applyFont="1" applyFill="1" applyBorder="1" applyAlignment="1">
      <alignment horizontal="center" vertical="top"/>
    </xf>
    <xf numFmtId="164" fontId="12" fillId="21" borderId="1" xfId="0" applyNumberFormat="1" applyFont="1" applyFill="1" applyBorder="1" applyAlignment="1">
      <alignment horizontal="center" vertical="center"/>
    </xf>
    <xf numFmtId="164" fontId="12" fillId="21" borderId="0" xfId="0" applyNumberFormat="1" applyFont="1" applyFill="1" applyAlignment="1">
      <alignment horizontal="center" vertical="center"/>
    </xf>
    <xf numFmtId="164" fontId="10" fillId="22" borderId="1" xfId="0" applyNumberFormat="1" applyFont="1" applyFill="1" applyBorder="1" applyAlignment="1">
      <alignment horizontal="center" vertical="center"/>
    </xf>
    <xf numFmtId="164" fontId="9" fillId="22" borderId="0" xfId="0" applyNumberFormat="1" applyFont="1" applyFill="1" applyAlignment="1">
      <alignment horizontal="center" vertical="center"/>
    </xf>
    <xf numFmtId="164" fontId="13" fillId="17" borderId="1" xfId="0" applyNumberFormat="1" applyFont="1" applyFill="1" applyBorder="1" applyAlignment="1">
      <alignment horizontal="center" vertical="center"/>
    </xf>
    <xf numFmtId="164" fontId="8" fillId="18" borderId="1" xfId="0" applyNumberFormat="1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164" fontId="8" fillId="24" borderId="1" xfId="0" applyNumberFormat="1" applyFont="1" applyFill="1" applyBorder="1" applyAlignment="1">
      <alignment horizontal="center" vertical="center"/>
    </xf>
    <xf numFmtId="164" fontId="8" fillId="24" borderId="0" xfId="0" applyNumberFormat="1" applyFont="1" applyFill="1" applyAlignment="1">
      <alignment horizontal="center" vertical="center"/>
    </xf>
    <xf numFmtId="0" fontId="7" fillId="8" borderId="1" xfId="0" applyNumberFormat="1" applyFont="1" applyFill="1" applyBorder="1" applyAlignment="1">
      <alignment horizontal="left" vertical="center"/>
    </xf>
    <xf numFmtId="0" fontId="11" fillId="20" borderId="1" xfId="0" applyNumberFormat="1" applyFont="1" applyFill="1" applyBorder="1" applyAlignment="1">
      <alignment horizontal="left" vertical="center"/>
    </xf>
    <xf numFmtId="0" fontId="7" fillId="22" borderId="1" xfId="0" applyNumberFormat="1" applyFont="1" applyFill="1" applyBorder="1" applyAlignment="1">
      <alignment horizontal="left" vertical="center"/>
    </xf>
    <xf numFmtId="0" fontId="8" fillId="11" borderId="1" xfId="0" applyNumberFormat="1" applyFont="1" applyFill="1" applyBorder="1" applyAlignment="1">
      <alignment horizontal="center" vertical="center"/>
    </xf>
    <xf numFmtId="0" fontId="8" fillId="24" borderId="1" xfId="0" applyNumberFormat="1" applyFont="1" applyFill="1" applyBorder="1" applyAlignment="1">
      <alignment horizontal="center" vertical="center"/>
    </xf>
    <xf numFmtId="0" fontId="9" fillId="11" borderId="0" xfId="0" applyNumberFormat="1" applyFont="1" applyFill="1" applyAlignment="1">
      <alignment horizontal="center" vertical="center"/>
    </xf>
    <xf numFmtId="0" fontId="11" fillId="23" borderId="1" xfId="0" applyNumberFormat="1" applyFont="1" applyFill="1" applyBorder="1" applyAlignment="1">
      <alignment horizontal="center" vertical="center"/>
    </xf>
    <xf numFmtId="0" fontId="12" fillId="21" borderId="0" xfId="0" applyNumberFormat="1" applyFont="1" applyFill="1" applyAlignment="1">
      <alignment horizontal="center" vertical="center"/>
    </xf>
    <xf numFmtId="0" fontId="9" fillId="22" borderId="0" xfId="0" applyNumberFormat="1" applyFont="1" applyFill="1" applyAlignment="1">
      <alignment horizontal="center" vertical="center"/>
    </xf>
    <xf numFmtId="0" fontId="8" fillId="24" borderId="0" xfId="0" applyNumberFormat="1" applyFont="1" applyFill="1" applyAlignment="1">
      <alignment horizontal="center" vertical="center"/>
    </xf>
    <xf numFmtId="0" fontId="10" fillId="17" borderId="1" xfId="0" applyNumberFormat="1" applyFont="1" applyFill="1" applyBorder="1" applyAlignment="1">
      <alignment horizontal="center" vertical="center"/>
    </xf>
    <xf numFmtId="164" fontId="8" fillId="11" borderId="2" xfId="0" applyNumberFormat="1" applyFont="1" applyFill="1" applyBorder="1" applyAlignment="1">
      <alignment vertical="center"/>
    </xf>
    <xf numFmtId="164" fontId="8" fillId="11" borderId="6" xfId="0" applyNumberFormat="1" applyFont="1" applyFill="1" applyBorder="1" applyAlignment="1">
      <alignment vertical="center"/>
    </xf>
    <xf numFmtId="164" fontId="8" fillId="11" borderId="0" xfId="0" applyNumberFormat="1" applyFont="1" applyFill="1" applyBorder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4" fillId="11" borderId="1" xfId="0" applyNumberFormat="1" applyFont="1" applyFill="1" applyBorder="1" applyAlignment="1">
      <alignment horizontal="left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14" fillId="11" borderId="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164" fontId="8" fillId="25" borderId="1" xfId="0" applyNumberFormat="1" applyFont="1" applyFill="1" applyBorder="1" applyAlignment="1">
      <alignment horizontal="center" vertical="center"/>
    </xf>
    <xf numFmtId="0" fontId="8" fillId="25" borderId="1" xfId="0" applyNumberFormat="1" applyFont="1" applyFill="1" applyBorder="1" applyAlignment="1">
      <alignment horizontal="left" vertical="center"/>
    </xf>
    <xf numFmtId="164" fontId="8" fillId="25" borderId="0" xfId="0" applyNumberFormat="1" applyFont="1" applyFill="1" applyAlignment="1">
      <alignment horizontal="center" vertical="center"/>
    </xf>
    <xf numFmtId="0" fontId="8" fillId="25" borderId="0" xfId="0" applyNumberFormat="1" applyFont="1" applyFill="1" applyAlignment="1">
      <alignment horizontal="center" vertical="center"/>
    </xf>
    <xf numFmtId="0" fontId="8" fillId="25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left" vertical="center"/>
    </xf>
    <xf numFmtId="164" fontId="8" fillId="26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8" fillId="28" borderId="1" xfId="0" applyNumberFormat="1" applyFont="1" applyFill="1" applyBorder="1" applyAlignment="1">
      <alignment horizontal="center" vertical="center"/>
    </xf>
    <xf numFmtId="164" fontId="8" fillId="28" borderId="1" xfId="0" applyNumberFormat="1" applyFont="1" applyFill="1" applyBorder="1" applyAlignment="1">
      <alignment horizontal="center" vertical="center"/>
    </xf>
    <xf numFmtId="164" fontId="15" fillId="22" borderId="2" xfId="0" applyNumberFormat="1" applyFont="1" applyFill="1" applyBorder="1" applyAlignment="1">
      <alignment vertical="center"/>
    </xf>
    <xf numFmtId="164" fontId="10" fillId="18" borderId="1" xfId="0" quotePrefix="1" applyNumberFormat="1" applyFont="1" applyFill="1" applyBorder="1" applyAlignment="1">
      <alignment horizontal="center" vertical="center"/>
    </xf>
    <xf numFmtId="0" fontId="8" fillId="28" borderId="5" xfId="0" applyNumberFormat="1" applyFont="1" applyFill="1" applyBorder="1" applyAlignment="1">
      <alignment horizontal="center" vertical="center"/>
    </xf>
    <xf numFmtId="0" fontId="8" fillId="11" borderId="0" xfId="0" applyNumberFormat="1" applyFont="1" applyFill="1" applyBorder="1" applyAlignment="1">
      <alignment horizontal="center" vertical="center"/>
    </xf>
    <xf numFmtId="164" fontId="8" fillId="20" borderId="1" xfId="0" applyNumberFormat="1" applyFont="1" applyFill="1" applyBorder="1" applyAlignment="1">
      <alignment horizontal="center" vertical="center"/>
    </xf>
    <xf numFmtId="164" fontId="8" fillId="29" borderId="1" xfId="0" applyNumberFormat="1" applyFont="1" applyFill="1" applyBorder="1" applyAlignment="1">
      <alignment horizontal="center" vertical="center"/>
    </xf>
    <xf numFmtId="0" fontId="7" fillId="11" borderId="2" xfId="0" applyNumberFormat="1" applyFont="1" applyFill="1" applyBorder="1" applyAlignment="1">
      <alignment horizontal="left" vertical="center"/>
    </xf>
    <xf numFmtId="164" fontId="19" fillId="11" borderId="4" xfId="0" applyNumberFormat="1" applyFont="1" applyFill="1" applyBorder="1" applyAlignment="1">
      <alignment horizontal="center" vertical="center"/>
    </xf>
    <xf numFmtId="164" fontId="20" fillId="11" borderId="4" xfId="0" applyNumberFormat="1" applyFont="1" applyFill="1" applyBorder="1" applyAlignment="1">
      <alignment horizontal="center" vertical="center"/>
    </xf>
    <xf numFmtId="164" fontId="20" fillId="11" borderId="1" xfId="0" applyNumberFormat="1" applyFont="1" applyFill="1" applyBorder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164" fontId="21" fillId="19" borderId="4" xfId="0" applyNumberFormat="1" applyFont="1" applyFill="1" applyBorder="1" applyAlignment="1">
      <alignment horizontal="center" vertical="center"/>
    </xf>
    <xf numFmtId="164" fontId="22" fillId="12" borderId="1" xfId="0" applyNumberFormat="1" applyFont="1" applyFill="1" applyBorder="1" applyAlignment="1">
      <alignment horizontal="center" vertical="center"/>
    </xf>
    <xf numFmtId="164" fontId="23" fillId="19" borderId="4" xfId="0" applyNumberFormat="1" applyFont="1" applyFill="1" applyBorder="1" applyAlignment="1">
      <alignment horizontal="center" vertical="center"/>
    </xf>
    <xf numFmtId="3" fontId="9" fillId="11" borderId="0" xfId="0" applyNumberFormat="1" applyFont="1" applyFill="1" applyAlignment="1">
      <alignment horizontal="center" vertical="center"/>
    </xf>
    <xf numFmtId="164" fontId="15" fillId="22" borderId="3" xfId="0" applyNumberFormat="1" applyFont="1" applyFill="1" applyBorder="1" applyAlignment="1">
      <alignment horizontal="center" vertical="center"/>
    </xf>
    <xf numFmtId="164" fontId="8" fillId="11" borderId="3" xfId="0" applyNumberFormat="1" applyFont="1" applyFill="1" applyBorder="1" applyAlignment="1">
      <alignment horizontal="center" vertical="center"/>
    </xf>
    <xf numFmtId="164" fontId="8" fillId="25" borderId="0" xfId="0" applyNumberFormat="1" applyFont="1" applyFill="1" applyBorder="1" applyAlignment="1">
      <alignment horizontal="center" vertical="center"/>
    </xf>
    <xf numFmtId="164" fontId="10" fillId="17" borderId="0" xfId="0" applyNumberFormat="1" applyFont="1" applyFill="1" applyBorder="1" applyAlignment="1">
      <alignment horizontal="center" vertical="center"/>
    </xf>
    <xf numFmtId="164" fontId="8" fillId="11" borderId="0" xfId="0" applyNumberFormat="1" applyFont="1" applyFill="1" applyBorder="1" applyAlignment="1">
      <alignment horizontal="center" vertical="center"/>
    </xf>
    <xf numFmtId="164" fontId="12" fillId="21" borderId="0" xfId="0" applyNumberFormat="1" applyFont="1" applyFill="1" applyBorder="1" applyAlignment="1">
      <alignment horizontal="center" vertical="center"/>
    </xf>
    <xf numFmtId="164" fontId="15" fillId="22" borderId="0" xfId="0" applyNumberFormat="1" applyFont="1" applyFill="1" applyBorder="1" applyAlignment="1">
      <alignment horizontal="center" vertical="center"/>
    </xf>
    <xf numFmtId="164" fontId="10" fillId="11" borderId="0" xfId="0" applyNumberFormat="1" applyFont="1" applyFill="1" applyBorder="1" applyAlignment="1">
      <alignment horizontal="center" vertical="center"/>
    </xf>
    <xf numFmtId="164" fontId="19" fillId="11" borderId="0" xfId="0" applyNumberFormat="1" applyFont="1" applyFill="1" applyBorder="1" applyAlignment="1">
      <alignment horizontal="center" vertical="center"/>
    </xf>
    <xf numFmtId="164" fontId="21" fillId="19" borderId="0" xfId="0" applyNumberFormat="1" applyFont="1" applyFill="1" applyBorder="1" applyAlignment="1">
      <alignment horizontal="center" vertical="center"/>
    </xf>
    <xf numFmtId="164" fontId="20" fillId="11" borderId="0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 applyAlignment="1">
      <alignment horizontal="center" vertical="center"/>
    </xf>
    <xf numFmtId="164" fontId="4" fillId="11" borderId="0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left" vertical="center"/>
    </xf>
    <xf numFmtId="164" fontId="24" fillId="11" borderId="0" xfId="0" applyNumberFormat="1" applyFont="1" applyFill="1" applyAlignment="1">
      <alignment horizontal="center" vertical="center"/>
    </xf>
    <xf numFmtId="164" fontId="15" fillId="22" borderId="2" xfId="0" applyNumberFormat="1" applyFont="1" applyFill="1" applyBorder="1" applyAlignment="1">
      <alignment horizontal="center" vertical="center"/>
    </xf>
    <xf numFmtId="164" fontId="15" fillId="22" borderId="3" xfId="0" applyNumberFormat="1" applyFont="1" applyFill="1" applyBorder="1" applyAlignment="1">
      <alignment horizontal="center" vertical="center"/>
    </xf>
    <xf numFmtId="164" fontId="15" fillId="22" borderId="4" xfId="0" applyNumberFormat="1" applyFont="1" applyFill="1" applyBorder="1" applyAlignment="1">
      <alignment horizontal="center" vertical="center"/>
    </xf>
    <xf numFmtId="164" fontId="16" fillId="2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4" fontId="17" fillId="2" borderId="9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horizontal="center" vertical="center"/>
    </xf>
    <xf numFmtId="164" fontId="17" fillId="2" borderId="11" xfId="0" applyNumberFormat="1" applyFont="1" applyFill="1" applyBorder="1" applyAlignment="1">
      <alignment horizontal="center" vertical="center"/>
    </xf>
    <xf numFmtId="164" fontId="17" fillId="2" borderId="12" xfId="0" applyNumberFormat="1" applyFont="1" applyFill="1" applyBorder="1" applyAlignment="1">
      <alignment horizontal="center" vertical="center"/>
    </xf>
    <xf numFmtId="164" fontId="17" fillId="2" borderId="13" xfId="0" applyNumberFormat="1" applyFont="1" applyFill="1" applyBorder="1" applyAlignment="1">
      <alignment horizontal="center" vertical="center"/>
    </xf>
    <xf numFmtId="164" fontId="8" fillId="11" borderId="3" xfId="0" applyNumberFormat="1" applyFont="1" applyFill="1" applyBorder="1" applyAlignment="1">
      <alignment horizontal="center" vertical="center"/>
    </xf>
    <xf numFmtId="0" fontId="7" fillId="8" borderId="2" xfId="0" applyNumberFormat="1" applyFont="1" applyFill="1" applyBorder="1" applyAlignment="1">
      <alignment horizontal="center" vertical="center"/>
    </xf>
    <xf numFmtId="0" fontId="7" fillId="8" borderId="4" xfId="0" applyNumberFormat="1" applyFont="1" applyFill="1" applyBorder="1" applyAlignment="1">
      <alignment horizontal="center" vertical="center"/>
    </xf>
    <xf numFmtId="164" fontId="16" fillId="14" borderId="7" xfId="0" applyNumberFormat="1" applyFont="1" applyFill="1" applyBorder="1" applyAlignment="1">
      <alignment horizontal="center" vertical="center"/>
    </xf>
    <xf numFmtId="164" fontId="17" fillId="14" borderId="8" xfId="0" applyNumberFormat="1" applyFont="1" applyFill="1" applyBorder="1" applyAlignment="1">
      <alignment horizontal="center" vertical="center"/>
    </xf>
    <xf numFmtId="164" fontId="17" fillId="14" borderId="9" xfId="0" applyNumberFormat="1" applyFont="1" applyFill="1" applyBorder="1" applyAlignment="1">
      <alignment horizontal="center" vertical="center"/>
    </xf>
    <xf numFmtId="164" fontId="17" fillId="14" borderId="6" xfId="0" applyNumberFormat="1" applyFont="1" applyFill="1" applyBorder="1" applyAlignment="1">
      <alignment horizontal="center" vertical="center"/>
    </xf>
    <xf numFmtId="164" fontId="17" fillId="14" borderId="0" xfId="0" applyNumberFormat="1" applyFont="1" applyFill="1" applyBorder="1" applyAlignment="1">
      <alignment horizontal="center" vertical="center"/>
    </xf>
    <xf numFmtId="164" fontId="17" fillId="14" borderId="10" xfId="0" applyNumberFormat="1" applyFont="1" applyFill="1" applyBorder="1" applyAlignment="1">
      <alignment horizontal="center" vertical="center"/>
    </xf>
    <xf numFmtId="164" fontId="17" fillId="14" borderId="11" xfId="0" applyNumberFormat="1" applyFont="1" applyFill="1" applyBorder="1" applyAlignment="1">
      <alignment horizontal="center" vertical="center"/>
    </xf>
    <xf numFmtId="164" fontId="17" fillId="14" borderId="12" xfId="0" applyNumberFormat="1" applyFont="1" applyFill="1" applyBorder="1" applyAlignment="1">
      <alignment horizontal="center" vertical="center"/>
    </xf>
    <xf numFmtId="164" fontId="17" fillId="14" borderId="13" xfId="0" applyNumberFormat="1" applyFont="1" applyFill="1" applyBorder="1" applyAlignment="1">
      <alignment horizontal="center" vertical="center"/>
    </xf>
    <xf numFmtId="164" fontId="16" fillId="30" borderId="7" xfId="0" applyNumberFormat="1" applyFont="1" applyFill="1" applyBorder="1" applyAlignment="1">
      <alignment horizontal="center" vertical="center"/>
    </xf>
    <xf numFmtId="164" fontId="17" fillId="30" borderId="8" xfId="0" applyNumberFormat="1" applyFont="1" applyFill="1" applyBorder="1" applyAlignment="1">
      <alignment horizontal="center" vertical="center"/>
    </xf>
    <xf numFmtId="164" fontId="17" fillId="30" borderId="9" xfId="0" applyNumberFormat="1" applyFont="1" applyFill="1" applyBorder="1" applyAlignment="1">
      <alignment horizontal="center" vertical="center"/>
    </xf>
    <xf numFmtId="164" fontId="17" fillId="30" borderId="6" xfId="0" applyNumberFormat="1" applyFont="1" applyFill="1" applyBorder="1" applyAlignment="1">
      <alignment horizontal="center" vertical="center"/>
    </xf>
    <xf numFmtId="164" fontId="17" fillId="30" borderId="0" xfId="0" applyNumberFormat="1" applyFont="1" applyFill="1" applyBorder="1" applyAlignment="1">
      <alignment horizontal="center" vertical="center"/>
    </xf>
    <xf numFmtId="164" fontId="17" fillId="30" borderId="10" xfId="0" applyNumberFormat="1" applyFont="1" applyFill="1" applyBorder="1" applyAlignment="1">
      <alignment horizontal="center" vertical="center"/>
    </xf>
    <xf numFmtId="164" fontId="17" fillId="30" borderId="11" xfId="0" applyNumberFormat="1" applyFont="1" applyFill="1" applyBorder="1" applyAlignment="1">
      <alignment horizontal="center" vertical="center"/>
    </xf>
    <xf numFmtId="164" fontId="17" fillId="30" borderId="12" xfId="0" applyNumberFormat="1" applyFont="1" applyFill="1" applyBorder="1" applyAlignment="1">
      <alignment horizontal="center" vertical="center"/>
    </xf>
    <xf numFmtId="164" fontId="17" fillId="30" borderId="13" xfId="0" applyNumberFormat="1" applyFont="1" applyFill="1" applyBorder="1" applyAlignment="1">
      <alignment horizontal="center" vertical="center"/>
    </xf>
    <xf numFmtId="0" fontId="8" fillId="24" borderId="5" xfId="0" applyNumberFormat="1" applyFont="1" applyFill="1" applyBorder="1" applyAlignment="1">
      <alignment horizontal="center" vertical="center" wrapText="1"/>
    </xf>
    <xf numFmtId="0" fontId="8" fillId="24" borderId="14" xfId="0" applyNumberFormat="1" applyFont="1" applyFill="1" applyBorder="1" applyAlignment="1">
      <alignment horizontal="center" vertical="center" wrapText="1"/>
    </xf>
    <xf numFmtId="164" fontId="16" fillId="12" borderId="7" xfId="0" applyNumberFormat="1" applyFont="1" applyFill="1" applyBorder="1" applyAlignment="1">
      <alignment horizontal="center" vertical="center"/>
    </xf>
    <xf numFmtId="164" fontId="17" fillId="12" borderId="8" xfId="0" applyNumberFormat="1" applyFont="1" applyFill="1" applyBorder="1" applyAlignment="1">
      <alignment horizontal="center" vertical="center"/>
    </xf>
    <xf numFmtId="164" fontId="17" fillId="12" borderId="9" xfId="0" applyNumberFormat="1" applyFont="1" applyFill="1" applyBorder="1" applyAlignment="1">
      <alignment horizontal="center" vertical="center"/>
    </xf>
    <xf numFmtId="164" fontId="17" fillId="12" borderId="6" xfId="0" applyNumberFormat="1" applyFont="1" applyFill="1" applyBorder="1" applyAlignment="1">
      <alignment horizontal="center" vertical="center"/>
    </xf>
    <xf numFmtId="164" fontId="17" fillId="12" borderId="0" xfId="0" applyNumberFormat="1" applyFont="1" applyFill="1" applyBorder="1" applyAlignment="1">
      <alignment horizontal="center" vertical="center"/>
    </xf>
    <xf numFmtId="164" fontId="17" fillId="12" borderId="10" xfId="0" applyNumberFormat="1" applyFont="1" applyFill="1" applyBorder="1" applyAlignment="1">
      <alignment horizontal="center" vertical="center"/>
    </xf>
    <xf numFmtId="164" fontId="17" fillId="12" borderId="11" xfId="0" applyNumberFormat="1" applyFont="1" applyFill="1" applyBorder="1" applyAlignment="1">
      <alignment horizontal="center" vertical="center"/>
    </xf>
    <xf numFmtId="164" fontId="17" fillId="12" borderId="12" xfId="0" applyNumberFormat="1" applyFont="1" applyFill="1" applyBorder="1" applyAlignment="1">
      <alignment horizontal="center" vertical="center"/>
    </xf>
    <xf numFmtId="164" fontId="17" fillId="12" borderId="13" xfId="0" applyNumberFormat="1" applyFont="1" applyFill="1" applyBorder="1" applyAlignment="1">
      <alignment horizontal="center" vertical="center"/>
    </xf>
    <xf numFmtId="0" fontId="18" fillId="22" borderId="6" xfId="0" applyNumberFormat="1" applyFont="1" applyFill="1" applyBorder="1" applyAlignment="1">
      <alignment horizontal="center" vertical="center"/>
    </xf>
    <xf numFmtId="0" fontId="18" fillId="22" borderId="0" xfId="0" applyNumberFormat="1" applyFont="1" applyFill="1" applyAlignment="1">
      <alignment horizontal="center" vertical="center"/>
    </xf>
    <xf numFmtId="164" fontId="10" fillId="27" borderId="2" xfId="0" applyNumberFormat="1" applyFont="1" applyFill="1" applyBorder="1" applyAlignment="1">
      <alignment horizontal="center" vertical="center"/>
    </xf>
    <xf numFmtId="164" fontId="10" fillId="27" borderId="4" xfId="0" applyNumberFormat="1" applyFont="1" applyFill="1" applyBorder="1" applyAlignment="1">
      <alignment horizontal="center" vertical="center"/>
    </xf>
    <xf numFmtId="0" fontId="18" fillId="2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opLeftCell="A70" zoomScale="170" zoomScaleNormal="170" workbookViewId="0">
      <selection activeCell="E79" sqref="E79:E80"/>
    </sheetView>
  </sheetViews>
  <sheetFormatPr defaultRowHeight="14.5" x14ac:dyDescent="0.35"/>
  <cols>
    <col min="1" max="1" width="11" style="21" customWidth="1"/>
    <col min="2" max="2" width="8.81640625" style="1" bestFit="1" customWidth="1"/>
    <col min="3" max="3" width="8.1796875" style="1" customWidth="1"/>
    <col min="4" max="4" width="9" style="23" customWidth="1"/>
    <col min="5" max="5" width="9.81640625" style="5" bestFit="1" customWidth="1"/>
    <col min="6" max="6" width="11.90625" style="4" bestFit="1" customWidth="1"/>
    <col min="7" max="7" width="7.54296875" style="1" bestFit="1" customWidth="1"/>
    <col min="8" max="8" width="7.26953125" style="2" bestFit="1" customWidth="1"/>
    <col min="9" max="9" width="8.08984375" style="3" bestFit="1" customWidth="1"/>
    <col min="10" max="10" width="6.26953125" style="29" bestFit="1" customWidth="1"/>
    <col min="11" max="11" width="8.7265625" style="30"/>
  </cols>
  <sheetData>
    <row r="1" spans="1:11" s="11" customFormat="1" x14ac:dyDescent="0.35">
      <c r="A1" s="20" t="s">
        <v>174</v>
      </c>
      <c r="B1" s="19" t="s">
        <v>0</v>
      </c>
      <c r="C1" s="19" t="s">
        <v>1</v>
      </c>
      <c r="D1" s="22" t="s">
        <v>6</v>
      </c>
      <c r="E1" s="19" t="s">
        <v>7</v>
      </c>
      <c r="F1" s="25" t="s">
        <v>2</v>
      </c>
      <c r="G1" s="19" t="s">
        <v>3</v>
      </c>
      <c r="H1" s="19" t="s">
        <v>4</v>
      </c>
      <c r="I1" s="19" t="s">
        <v>5</v>
      </c>
      <c r="J1" s="26" t="s">
        <v>75</v>
      </c>
      <c r="K1" s="31"/>
    </row>
    <row r="2" spans="1:11" s="11" customFormat="1" x14ac:dyDescent="0.35">
      <c r="A2" s="20" t="s">
        <v>9</v>
      </c>
      <c r="B2" s="6"/>
      <c r="C2" s="6">
        <v>56</v>
      </c>
      <c r="D2" s="22"/>
      <c r="E2" s="10"/>
      <c r="F2" s="9"/>
      <c r="G2" s="6"/>
      <c r="H2" s="7"/>
      <c r="I2" s="8"/>
      <c r="J2" s="27"/>
      <c r="K2" s="31"/>
    </row>
    <row r="3" spans="1:11" s="11" customFormat="1" x14ac:dyDescent="0.35">
      <c r="A3" s="20" t="s">
        <v>10</v>
      </c>
      <c r="B3" s="6">
        <v>977.2</v>
      </c>
      <c r="C3" s="6">
        <v>504.9</v>
      </c>
      <c r="D3" s="22"/>
      <c r="E3" s="10"/>
      <c r="F3" s="9"/>
      <c r="G3" s="6"/>
      <c r="H3" s="7">
        <f>481.8+27</f>
        <v>508.8</v>
      </c>
      <c r="I3" s="8"/>
      <c r="J3" s="27"/>
      <c r="K3" s="31"/>
    </row>
    <row r="4" spans="1:11" s="11" customFormat="1" x14ac:dyDescent="0.35">
      <c r="A4" s="20" t="s">
        <v>11</v>
      </c>
      <c r="B4" s="6">
        <v>497.3</v>
      </c>
      <c r="C4" s="6"/>
      <c r="D4" s="22"/>
      <c r="E4" s="10"/>
      <c r="F4" s="9">
        <v>937.1</v>
      </c>
      <c r="G4" s="6"/>
      <c r="H4" s="7">
        <v>481.6</v>
      </c>
      <c r="I4" s="8"/>
      <c r="J4" s="27"/>
      <c r="K4" s="31"/>
    </row>
    <row r="5" spans="1:11" s="11" customFormat="1" x14ac:dyDescent="0.35">
      <c r="A5" s="20" t="s">
        <v>12</v>
      </c>
      <c r="B5" s="6">
        <v>744.5</v>
      </c>
      <c r="C5" s="6"/>
      <c r="D5" s="22"/>
      <c r="E5" s="10"/>
      <c r="F5" s="9">
        <v>946.9</v>
      </c>
      <c r="G5" s="6"/>
      <c r="H5" s="7"/>
      <c r="I5" s="8"/>
      <c r="J5" s="27"/>
      <c r="K5" s="31"/>
    </row>
    <row r="6" spans="1:11" s="11" customFormat="1" x14ac:dyDescent="0.35">
      <c r="A6" s="20" t="s">
        <v>13</v>
      </c>
      <c r="B6" s="6"/>
      <c r="C6" s="6"/>
      <c r="D6" s="22"/>
      <c r="E6" s="10"/>
      <c r="F6" s="9">
        <v>939.5</v>
      </c>
      <c r="G6" s="6"/>
      <c r="H6" s="7">
        <v>39.4</v>
      </c>
      <c r="I6" s="8"/>
      <c r="J6" s="27"/>
      <c r="K6" s="31"/>
    </row>
    <row r="7" spans="1:11" s="11" customFormat="1" x14ac:dyDescent="0.35">
      <c r="A7" s="20" t="s">
        <v>14</v>
      </c>
      <c r="B7" s="6">
        <v>1982.9</v>
      </c>
      <c r="C7" s="6"/>
      <c r="D7" s="22"/>
      <c r="E7" s="10"/>
      <c r="F7" s="9"/>
      <c r="G7" s="6"/>
      <c r="H7" s="7"/>
      <c r="I7" s="8"/>
      <c r="J7" s="27"/>
      <c r="K7" s="31"/>
    </row>
    <row r="8" spans="1:11" s="11" customFormat="1" x14ac:dyDescent="0.35">
      <c r="A8" s="20" t="s">
        <v>15</v>
      </c>
      <c r="B8" s="6"/>
      <c r="C8" s="6"/>
      <c r="D8" s="22"/>
      <c r="E8" s="10"/>
      <c r="F8" s="9">
        <v>2025.2</v>
      </c>
      <c r="G8" s="6"/>
      <c r="H8" s="7"/>
      <c r="I8" s="8"/>
      <c r="J8" s="27"/>
      <c r="K8" s="31"/>
    </row>
    <row r="9" spans="1:11" s="11" customFormat="1" x14ac:dyDescent="0.35">
      <c r="A9" s="20" t="s">
        <v>16</v>
      </c>
      <c r="B9" s="6">
        <v>809.2</v>
      </c>
      <c r="C9" s="6"/>
      <c r="D9" s="22"/>
      <c r="E9" s="10">
        <v>469.2</v>
      </c>
      <c r="F9" s="9"/>
      <c r="G9" s="6"/>
      <c r="H9" s="7"/>
      <c r="I9" s="8"/>
      <c r="J9" s="27"/>
      <c r="K9" s="31"/>
    </row>
    <row r="10" spans="1:11" s="11" customFormat="1" x14ac:dyDescent="0.35">
      <c r="A10" s="20" t="s">
        <v>17</v>
      </c>
      <c r="B10" s="6"/>
      <c r="C10" s="6">
        <v>2012</v>
      </c>
      <c r="D10" s="22"/>
      <c r="E10" s="10"/>
      <c r="F10" s="9"/>
      <c r="G10" s="6"/>
      <c r="H10" s="7"/>
      <c r="I10" s="8"/>
      <c r="J10" s="27"/>
      <c r="K10" s="31"/>
    </row>
    <row r="11" spans="1:11" s="11" customFormat="1" x14ac:dyDescent="0.35">
      <c r="A11" s="20" t="s">
        <v>18</v>
      </c>
      <c r="B11" s="6">
        <v>937.4</v>
      </c>
      <c r="C11" s="6"/>
      <c r="D11" s="22"/>
      <c r="E11" s="10"/>
      <c r="F11" s="9"/>
      <c r="G11" s="6"/>
      <c r="H11" s="7"/>
      <c r="I11" s="8">
        <v>480.3</v>
      </c>
      <c r="J11" s="27"/>
      <c r="K11" s="31"/>
    </row>
    <row r="12" spans="1:11" s="11" customFormat="1" x14ac:dyDescent="0.35">
      <c r="A12" s="20" t="s">
        <v>19</v>
      </c>
      <c r="B12" s="6">
        <v>473.8</v>
      </c>
      <c r="C12" s="6"/>
      <c r="D12" s="22"/>
      <c r="E12" s="10">
        <v>476.8</v>
      </c>
      <c r="F12" s="9">
        <v>658.4</v>
      </c>
      <c r="G12" s="6"/>
      <c r="H12" s="7">
        <v>473.3</v>
      </c>
      <c r="I12" s="8"/>
      <c r="J12" s="27"/>
      <c r="K12" s="31"/>
    </row>
    <row r="13" spans="1:11" s="11" customFormat="1" x14ac:dyDescent="0.35">
      <c r="A13" s="20" t="s">
        <v>20</v>
      </c>
      <c r="B13" s="6">
        <v>714.3</v>
      </c>
      <c r="C13" s="6">
        <v>1471.5</v>
      </c>
      <c r="D13" s="22"/>
      <c r="E13" s="10"/>
      <c r="F13" s="9">
        <v>43.6</v>
      </c>
      <c r="G13" s="6"/>
      <c r="H13" s="7">
        <v>43.5</v>
      </c>
      <c r="I13" s="8"/>
      <c r="J13" s="27"/>
      <c r="K13" s="31"/>
    </row>
    <row r="14" spans="1:11" s="11" customFormat="1" x14ac:dyDescent="0.35">
      <c r="A14" s="20" t="s">
        <v>21</v>
      </c>
      <c r="B14" s="6">
        <v>1956.2</v>
      </c>
      <c r="C14" s="6"/>
      <c r="D14" s="22"/>
      <c r="E14" s="10"/>
      <c r="F14" s="9"/>
      <c r="G14" s="6"/>
      <c r="H14" s="7"/>
      <c r="I14" s="8"/>
      <c r="J14" s="27"/>
      <c r="K14" s="31"/>
    </row>
    <row r="15" spans="1:11" s="11" customFormat="1" x14ac:dyDescent="0.35">
      <c r="A15" s="20" t="s">
        <v>22</v>
      </c>
      <c r="B15" s="6">
        <v>1757.7</v>
      </c>
      <c r="C15" s="6"/>
      <c r="D15" s="22"/>
      <c r="E15" s="10"/>
      <c r="F15" s="9">
        <v>321.39999999999998</v>
      </c>
      <c r="G15" s="6"/>
      <c r="H15" s="7"/>
      <c r="I15" s="8"/>
      <c r="J15" s="27"/>
      <c r="K15" s="31"/>
    </row>
    <row r="16" spans="1:11" s="11" customFormat="1" x14ac:dyDescent="0.35">
      <c r="A16" s="20" t="s">
        <v>22</v>
      </c>
      <c r="B16" s="6">
        <v>966</v>
      </c>
      <c r="C16" s="6">
        <v>321.60000000000002</v>
      </c>
      <c r="D16" s="22"/>
      <c r="E16" s="10"/>
      <c r="F16" s="9"/>
      <c r="G16" s="6"/>
      <c r="H16" s="7"/>
      <c r="I16" s="8">
        <v>470.1</v>
      </c>
      <c r="J16" s="27"/>
      <c r="K16" s="31"/>
    </row>
    <row r="17" spans="1:11" s="11" customFormat="1" x14ac:dyDescent="0.35">
      <c r="A17" s="20" t="s">
        <v>23</v>
      </c>
      <c r="B17" s="6"/>
      <c r="C17" s="6"/>
      <c r="D17" s="22"/>
      <c r="E17" s="10"/>
      <c r="F17" s="9">
        <v>303.10000000000002</v>
      </c>
      <c r="G17" s="6">
        <v>666.4</v>
      </c>
      <c r="H17" s="7"/>
      <c r="I17" s="8"/>
      <c r="J17" s="27"/>
      <c r="K17" s="31"/>
    </row>
    <row r="18" spans="1:11" s="11" customFormat="1" x14ac:dyDescent="0.35">
      <c r="A18" s="20" t="s">
        <v>24</v>
      </c>
      <c r="B18" s="6">
        <v>1940.5</v>
      </c>
      <c r="C18" s="6"/>
      <c r="D18" s="22"/>
      <c r="E18" s="10"/>
      <c r="F18" s="9"/>
      <c r="G18" s="6"/>
      <c r="H18" s="7"/>
      <c r="I18" s="8"/>
      <c r="J18" s="27"/>
      <c r="K18" s="31"/>
    </row>
    <row r="19" spans="1:11" s="11" customFormat="1" x14ac:dyDescent="0.35">
      <c r="A19" s="20" t="s">
        <v>25</v>
      </c>
      <c r="B19" s="6">
        <v>1977.9</v>
      </c>
      <c r="C19" s="6"/>
      <c r="D19" s="22"/>
      <c r="E19" s="10"/>
      <c r="F19" s="9"/>
      <c r="G19" s="6"/>
      <c r="H19" s="7"/>
      <c r="I19" s="8"/>
      <c r="J19" s="27"/>
      <c r="K19" s="31"/>
    </row>
    <row r="20" spans="1:11" s="11" customFormat="1" x14ac:dyDescent="0.35">
      <c r="A20" s="20" t="s">
        <v>26</v>
      </c>
      <c r="B20" s="6">
        <v>793.6</v>
      </c>
      <c r="C20" s="6"/>
      <c r="D20" s="22"/>
      <c r="E20" s="10"/>
      <c r="F20" s="9">
        <v>312.89999999999998</v>
      </c>
      <c r="G20" s="6"/>
      <c r="H20" s="7"/>
      <c r="I20" s="8">
        <v>467</v>
      </c>
      <c r="J20" s="27"/>
      <c r="K20" s="31"/>
    </row>
    <row r="21" spans="1:11" s="11" customFormat="1" x14ac:dyDescent="0.35">
      <c r="A21" s="20" t="s">
        <v>27</v>
      </c>
      <c r="B21" s="6"/>
      <c r="C21" s="6"/>
      <c r="D21" s="22"/>
      <c r="E21" s="10"/>
      <c r="F21" s="9">
        <v>1199.9000000000001</v>
      </c>
      <c r="G21" s="6"/>
      <c r="H21" s="7"/>
      <c r="I21" s="8"/>
      <c r="J21" s="27"/>
      <c r="K21" s="31"/>
    </row>
    <row r="22" spans="1:11" s="11" customFormat="1" x14ac:dyDescent="0.35">
      <c r="A22" s="20" t="s">
        <v>28</v>
      </c>
      <c r="B22" s="6">
        <v>1938.6</v>
      </c>
      <c r="C22" s="6"/>
      <c r="D22" s="22"/>
      <c r="E22" s="10"/>
      <c r="F22" s="9"/>
      <c r="G22" s="6"/>
      <c r="H22" s="7"/>
      <c r="I22" s="8"/>
      <c r="J22" s="27"/>
      <c r="K22" s="31"/>
    </row>
    <row r="23" spans="1:11" s="11" customFormat="1" x14ac:dyDescent="0.35">
      <c r="A23" s="20" t="s">
        <v>29</v>
      </c>
      <c r="B23" s="6">
        <v>1594.4</v>
      </c>
      <c r="C23" s="6"/>
      <c r="D23" s="22"/>
      <c r="E23" s="10"/>
      <c r="F23" s="9"/>
      <c r="G23" s="6"/>
      <c r="H23" s="7">
        <v>508.7</v>
      </c>
      <c r="I23" s="8"/>
      <c r="J23" s="27"/>
      <c r="K23" s="31"/>
    </row>
    <row r="24" spans="1:11" s="11" customFormat="1" x14ac:dyDescent="0.35">
      <c r="A24" s="20" t="s">
        <v>30</v>
      </c>
      <c r="B24" s="6">
        <v>599.29999999999995</v>
      </c>
      <c r="C24" s="6"/>
      <c r="D24" s="22"/>
      <c r="E24" s="10"/>
      <c r="F24" s="9">
        <v>976</v>
      </c>
      <c r="G24" s="6"/>
      <c r="H24" s="7">
        <v>489.6</v>
      </c>
      <c r="I24" s="8"/>
      <c r="J24" s="27"/>
      <c r="K24" s="31"/>
    </row>
    <row r="25" spans="1:11" s="11" customFormat="1" x14ac:dyDescent="0.35">
      <c r="A25" s="20" t="s">
        <v>31</v>
      </c>
      <c r="B25" s="6">
        <v>1983.6</v>
      </c>
      <c r="C25" s="6"/>
      <c r="D25" s="22"/>
      <c r="E25" s="10"/>
      <c r="F25" s="9"/>
      <c r="G25" s="6"/>
      <c r="H25" s="7"/>
      <c r="I25" s="8"/>
      <c r="J25" s="27"/>
      <c r="K25" s="31"/>
    </row>
    <row r="26" spans="1:11" s="11" customFormat="1" x14ac:dyDescent="0.35">
      <c r="A26" s="20" t="s">
        <v>32</v>
      </c>
      <c r="B26" s="6">
        <v>1046.7</v>
      </c>
      <c r="C26" s="6"/>
      <c r="D26" s="22"/>
      <c r="E26" s="10"/>
      <c r="F26" s="9">
        <v>82.5</v>
      </c>
      <c r="G26" s="6"/>
      <c r="H26" s="7"/>
      <c r="I26" s="8">
        <v>484.3</v>
      </c>
      <c r="J26" s="27"/>
      <c r="K26" s="31"/>
    </row>
    <row r="27" spans="1:11" s="11" customFormat="1" x14ac:dyDescent="0.35">
      <c r="A27" s="20" t="s">
        <v>33</v>
      </c>
      <c r="B27" s="6"/>
      <c r="C27" s="6">
        <v>1156.8</v>
      </c>
      <c r="D27" s="22"/>
      <c r="E27" s="10"/>
      <c r="F27" s="9"/>
      <c r="G27" s="6"/>
      <c r="H27" s="7"/>
      <c r="I27" s="8"/>
      <c r="J27" s="27"/>
      <c r="K27" s="31"/>
    </row>
    <row r="28" spans="1:11" s="11" customFormat="1" x14ac:dyDescent="0.35">
      <c r="A28" s="20" t="s">
        <v>34</v>
      </c>
      <c r="B28" s="6">
        <v>2014.6</v>
      </c>
      <c r="C28" s="6"/>
      <c r="D28" s="22"/>
      <c r="E28" s="10"/>
      <c r="F28" s="9"/>
      <c r="G28" s="6"/>
      <c r="H28" s="7"/>
      <c r="I28" s="8"/>
      <c r="J28" s="27"/>
      <c r="K28" s="31"/>
    </row>
    <row r="29" spans="1:11" s="11" customFormat="1" x14ac:dyDescent="0.35">
      <c r="A29" s="20" t="s">
        <v>34</v>
      </c>
      <c r="B29" s="6">
        <v>1051.2</v>
      </c>
      <c r="C29" s="6"/>
      <c r="D29" s="22"/>
      <c r="E29" s="10"/>
      <c r="F29" s="9">
        <v>917.6</v>
      </c>
      <c r="G29" s="6"/>
      <c r="H29" s="7"/>
      <c r="I29" s="8"/>
      <c r="J29" s="27"/>
      <c r="K29" s="31"/>
    </row>
    <row r="30" spans="1:11" s="11" customFormat="1" x14ac:dyDescent="0.35">
      <c r="A30" s="20" t="s">
        <v>35</v>
      </c>
      <c r="B30" s="6">
        <v>549.6</v>
      </c>
      <c r="C30" s="6"/>
      <c r="D30" s="22"/>
      <c r="E30" s="10"/>
      <c r="F30" s="9">
        <v>324.89999999999998</v>
      </c>
      <c r="G30" s="6"/>
      <c r="H30" s="7">
        <f>516.2+460</f>
        <v>976.2</v>
      </c>
      <c r="I30" s="8"/>
      <c r="J30" s="27"/>
      <c r="K30" s="31"/>
    </row>
    <row r="31" spans="1:11" s="11" customFormat="1" x14ac:dyDescent="0.35">
      <c r="A31" s="20" t="s">
        <v>36</v>
      </c>
      <c r="B31" s="6"/>
      <c r="C31" s="6"/>
      <c r="D31" s="22"/>
      <c r="E31" s="10"/>
      <c r="F31" s="9">
        <v>325</v>
      </c>
      <c r="G31" s="6"/>
      <c r="H31" s="7">
        <v>512.29999999999995</v>
      </c>
      <c r="I31" s="8"/>
      <c r="J31" s="27"/>
      <c r="K31" s="31"/>
    </row>
    <row r="32" spans="1:11" s="11" customFormat="1" x14ac:dyDescent="0.35">
      <c r="A32" s="20" t="s">
        <v>37</v>
      </c>
      <c r="B32" s="6">
        <v>1970.5</v>
      </c>
      <c r="C32" s="6"/>
      <c r="D32" s="22"/>
      <c r="E32" s="10"/>
      <c r="F32" s="9"/>
      <c r="G32" s="6"/>
      <c r="H32" s="7"/>
      <c r="I32" s="8"/>
      <c r="J32" s="27"/>
      <c r="K32" s="31"/>
    </row>
    <row r="33" spans="1:11" s="11" customFormat="1" x14ac:dyDescent="0.35">
      <c r="A33" s="20" t="s">
        <v>38</v>
      </c>
      <c r="B33" s="6">
        <v>1510</v>
      </c>
      <c r="C33" s="6"/>
      <c r="D33" s="22"/>
      <c r="E33" s="10">
        <v>476.3</v>
      </c>
      <c r="F33" s="9"/>
      <c r="G33" s="6"/>
      <c r="H33" s="7"/>
      <c r="I33" s="8"/>
      <c r="J33" s="27"/>
      <c r="K33" s="31"/>
    </row>
    <row r="34" spans="1:11" s="11" customFormat="1" x14ac:dyDescent="0.35">
      <c r="A34" s="20" t="s">
        <v>38</v>
      </c>
      <c r="B34" s="6">
        <v>971.9</v>
      </c>
      <c r="C34" s="6"/>
      <c r="D34" s="22"/>
      <c r="E34" s="10"/>
      <c r="F34" s="9"/>
      <c r="G34" s="6"/>
      <c r="H34" s="7"/>
      <c r="I34" s="8">
        <v>1025.2</v>
      </c>
      <c r="J34" s="27"/>
      <c r="K34" s="31"/>
    </row>
    <row r="35" spans="1:11" s="11" customFormat="1" x14ac:dyDescent="0.35">
      <c r="A35" s="20" t="s">
        <v>39</v>
      </c>
      <c r="B35" s="6">
        <v>2035.6</v>
      </c>
      <c r="C35" s="6"/>
      <c r="D35" s="22"/>
      <c r="E35" s="10"/>
      <c r="F35" s="9"/>
      <c r="G35" s="6"/>
      <c r="H35" s="7"/>
      <c r="I35" s="8"/>
      <c r="J35" s="27"/>
      <c r="K35" s="31"/>
    </row>
    <row r="36" spans="1:11" s="11" customFormat="1" x14ac:dyDescent="0.35">
      <c r="A36" s="20" t="s">
        <v>40</v>
      </c>
      <c r="B36" s="6">
        <v>840.2</v>
      </c>
      <c r="C36" s="6"/>
      <c r="D36" s="22"/>
      <c r="E36" s="10"/>
      <c r="F36" s="9">
        <v>61.6</v>
      </c>
      <c r="G36" s="6"/>
      <c r="H36" s="7">
        <v>29.7</v>
      </c>
      <c r="I36" s="8"/>
      <c r="J36" s="27"/>
      <c r="K36" s="31"/>
    </row>
    <row r="37" spans="1:11" s="11" customFormat="1" x14ac:dyDescent="0.35">
      <c r="A37" s="20" t="s">
        <v>41</v>
      </c>
      <c r="B37" s="6">
        <v>1998.6</v>
      </c>
      <c r="C37" s="6"/>
      <c r="D37" s="22"/>
      <c r="E37" s="10"/>
      <c r="F37" s="9"/>
      <c r="G37" s="6"/>
      <c r="H37" s="7"/>
      <c r="I37" s="8"/>
      <c r="J37" s="27"/>
      <c r="K37" s="31"/>
    </row>
    <row r="38" spans="1:11" s="11" customFormat="1" x14ac:dyDescent="0.35">
      <c r="A38" s="20" t="s">
        <v>42</v>
      </c>
      <c r="B38" s="6">
        <v>1975.7</v>
      </c>
      <c r="C38" s="6"/>
      <c r="D38" s="22"/>
      <c r="E38" s="10"/>
      <c r="F38" s="9"/>
      <c r="G38" s="6"/>
      <c r="H38" s="7"/>
      <c r="I38" s="8"/>
      <c r="J38" s="27"/>
      <c r="K38" s="31"/>
    </row>
    <row r="39" spans="1:11" s="11" customFormat="1" x14ac:dyDescent="0.35">
      <c r="A39" s="20" t="s">
        <v>43</v>
      </c>
      <c r="B39" s="6">
        <v>486.2</v>
      </c>
      <c r="C39" s="6">
        <v>636.4</v>
      </c>
      <c r="D39" s="22"/>
      <c r="E39" s="10"/>
      <c r="F39" s="9">
        <v>739.3</v>
      </c>
      <c r="G39" s="6"/>
      <c r="H39" s="7"/>
      <c r="I39" s="8"/>
      <c r="J39" s="27"/>
      <c r="K39" s="31"/>
    </row>
    <row r="40" spans="1:11" s="11" customFormat="1" x14ac:dyDescent="0.35">
      <c r="A40" s="20" t="s">
        <v>44</v>
      </c>
      <c r="B40" s="6">
        <v>1993.5</v>
      </c>
      <c r="C40" s="6"/>
      <c r="D40" s="22"/>
      <c r="E40" s="10"/>
      <c r="F40" s="9"/>
      <c r="G40" s="6"/>
      <c r="H40" s="7"/>
      <c r="I40" s="8"/>
      <c r="J40" s="27"/>
      <c r="K40" s="31"/>
    </row>
    <row r="41" spans="1:11" s="11" customFormat="1" x14ac:dyDescent="0.35">
      <c r="A41" s="20" t="s">
        <v>45</v>
      </c>
      <c r="B41" s="6">
        <v>104.5</v>
      </c>
      <c r="C41" s="6">
        <v>1722</v>
      </c>
      <c r="D41" s="22"/>
      <c r="E41" s="10"/>
      <c r="F41" s="9"/>
      <c r="G41" s="6"/>
      <c r="H41" s="7"/>
      <c r="I41" s="8"/>
      <c r="J41" s="27"/>
      <c r="K41" s="31"/>
    </row>
    <row r="42" spans="1:11" s="11" customFormat="1" x14ac:dyDescent="0.35">
      <c r="A42" s="20" t="s">
        <v>46</v>
      </c>
      <c r="B42" s="6"/>
      <c r="C42" s="6"/>
      <c r="D42" s="22"/>
      <c r="E42" s="10"/>
      <c r="F42" s="9">
        <v>881.3</v>
      </c>
      <c r="G42" s="6"/>
      <c r="H42" s="7">
        <v>938.9</v>
      </c>
      <c r="I42" s="8"/>
      <c r="J42" s="27"/>
      <c r="K42" s="31"/>
    </row>
    <row r="43" spans="1:11" s="11" customFormat="1" x14ac:dyDescent="0.35">
      <c r="A43" s="20" t="s">
        <v>47</v>
      </c>
      <c r="B43" s="6"/>
      <c r="C43" s="6"/>
      <c r="D43" s="22"/>
      <c r="E43" s="10"/>
      <c r="F43" s="9">
        <v>631.1</v>
      </c>
      <c r="G43" s="6"/>
      <c r="H43" s="7"/>
      <c r="I43" s="8"/>
      <c r="J43" s="27"/>
      <c r="K43" s="31"/>
    </row>
    <row r="44" spans="1:11" s="11" customFormat="1" x14ac:dyDescent="0.35">
      <c r="A44" s="20" t="s">
        <v>48</v>
      </c>
      <c r="B44" s="6">
        <v>1972</v>
      </c>
      <c r="C44" s="6"/>
      <c r="D44" s="22"/>
      <c r="E44" s="10"/>
      <c r="F44" s="9"/>
      <c r="G44" s="6"/>
      <c r="H44" s="7"/>
      <c r="I44" s="8"/>
      <c r="J44" s="27"/>
      <c r="K44" s="31"/>
    </row>
    <row r="45" spans="1:11" s="11" customFormat="1" x14ac:dyDescent="0.35">
      <c r="A45" s="20" t="s">
        <v>49</v>
      </c>
      <c r="B45" s="6">
        <v>479.9</v>
      </c>
      <c r="C45" s="6"/>
      <c r="D45" s="22"/>
      <c r="E45" s="10"/>
      <c r="F45" s="9"/>
      <c r="G45" s="6"/>
      <c r="H45" s="7">
        <v>472.9</v>
      </c>
      <c r="I45" s="8">
        <f>478.5+479.8</f>
        <v>958.3</v>
      </c>
      <c r="J45" s="27"/>
      <c r="K45" s="31"/>
    </row>
    <row r="46" spans="1:11" s="11" customFormat="1" x14ac:dyDescent="0.35">
      <c r="A46" s="20" t="s">
        <v>50</v>
      </c>
      <c r="B46" s="6">
        <v>1447.2</v>
      </c>
      <c r="C46" s="6"/>
      <c r="D46" s="22"/>
      <c r="E46" s="10"/>
      <c r="F46" s="9"/>
      <c r="G46" s="6"/>
      <c r="H46" s="7">
        <v>489.5</v>
      </c>
      <c r="I46" s="8"/>
      <c r="J46" s="27"/>
      <c r="K46" s="31"/>
    </row>
    <row r="47" spans="1:11" s="11" customFormat="1" x14ac:dyDescent="0.35">
      <c r="A47" s="20" t="s">
        <v>51</v>
      </c>
      <c r="B47" s="6"/>
      <c r="C47" s="6">
        <v>510.2</v>
      </c>
      <c r="D47" s="22">
        <v>608</v>
      </c>
      <c r="E47" s="10"/>
      <c r="F47" s="9">
        <v>330.3</v>
      </c>
      <c r="G47" s="6"/>
      <c r="H47" s="7">
        <v>436.5</v>
      </c>
      <c r="I47" s="8"/>
      <c r="J47" s="27"/>
      <c r="K47" s="31"/>
    </row>
    <row r="48" spans="1:11" s="11" customFormat="1" x14ac:dyDescent="0.35">
      <c r="A48" s="20" t="s">
        <v>52</v>
      </c>
      <c r="B48" s="6"/>
      <c r="C48" s="6">
        <v>999.3</v>
      </c>
      <c r="D48" s="22"/>
      <c r="E48" s="10"/>
      <c r="F48" s="9">
        <v>324.8</v>
      </c>
      <c r="G48" s="6"/>
      <c r="H48" s="7"/>
      <c r="I48" s="8"/>
      <c r="J48" s="27">
        <v>479.5</v>
      </c>
      <c r="K48" s="31"/>
    </row>
    <row r="49" spans="1:11" s="11" customFormat="1" x14ac:dyDescent="0.35">
      <c r="A49" s="20" t="s">
        <v>53</v>
      </c>
      <c r="B49" s="6">
        <v>109.2</v>
      </c>
      <c r="C49" s="6">
        <v>1609.7</v>
      </c>
      <c r="D49" s="22">
        <v>250.1</v>
      </c>
      <c r="E49" s="10"/>
      <c r="F49" s="9">
        <v>329.3</v>
      </c>
      <c r="G49" s="6"/>
      <c r="H49" s="7">
        <v>56.8</v>
      </c>
      <c r="I49" s="8"/>
      <c r="J49" s="27"/>
      <c r="K49" s="31"/>
    </row>
    <row r="50" spans="1:11" s="13" customFormat="1" ht="24" customHeight="1" x14ac:dyDescent="0.35">
      <c r="A50" s="13" t="s">
        <v>175</v>
      </c>
      <c r="B50" s="12">
        <f t="shared" ref="B50:J50" si="0">SUM(B2:B49)</f>
        <v>45201.499999999985</v>
      </c>
      <c r="C50" s="12">
        <f t="shared" si="0"/>
        <v>11000.4</v>
      </c>
      <c r="D50" s="22">
        <f t="shared" si="0"/>
        <v>858.1</v>
      </c>
      <c r="E50" s="12">
        <f t="shared" si="0"/>
        <v>1422.3</v>
      </c>
      <c r="F50" s="9">
        <f t="shared" si="0"/>
        <v>13611.699999999997</v>
      </c>
      <c r="G50" s="12">
        <f t="shared" si="0"/>
        <v>666.4</v>
      </c>
      <c r="H50" s="12">
        <f t="shared" si="0"/>
        <v>6457.7</v>
      </c>
      <c r="I50" s="12">
        <f t="shared" si="0"/>
        <v>3885.2</v>
      </c>
      <c r="J50" s="27">
        <f t="shared" si="0"/>
        <v>479.5</v>
      </c>
      <c r="K50" s="19">
        <f>SUM(B50:J50)</f>
        <v>83582.799999999974</v>
      </c>
    </row>
    <row r="51" spans="1:11" s="31" customFormat="1" ht="21.5" customHeight="1" x14ac:dyDescent="0.35">
      <c r="A51" s="50" t="s">
        <v>176</v>
      </c>
      <c r="B51" s="48"/>
      <c r="C51" s="48"/>
      <c r="D51" s="49"/>
      <c r="E51" s="48"/>
      <c r="F51" s="48"/>
      <c r="G51" s="48"/>
      <c r="H51" s="48"/>
      <c r="I51" s="48"/>
      <c r="J51" s="72"/>
    </row>
    <row r="52" spans="1:11" s="31" customFormat="1" ht="21.5" customHeight="1" x14ac:dyDescent="0.35">
      <c r="A52" s="50"/>
      <c r="B52" s="73" t="s">
        <v>177</v>
      </c>
      <c r="C52" s="73" t="s">
        <v>178</v>
      </c>
      <c r="D52" s="73"/>
      <c r="E52" s="48"/>
      <c r="F52" s="48"/>
      <c r="G52" s="48"/>
      <c r="H52" s="48"/>
      <c r="I52" s="48"/>
      <c r="J52" s="72"/>
    </row>
    <row r="53" spans="1:11" x14ac:dyDescent="0.35">
      <c r="A53" s="21" t="s">
        <v>59</v>
      </c>
      <c r="B53" s="1">
        <v>5717.5</v>
      </c>
      <c r="C53" s="1">
        <v>1143.5</v>
      </c>
      <c r="D53" s="23">
        <v>220.39099999999999</v>
      </c>
    </row>
    <row r="54" spans="1:11" x14ac:dyDescent="0.35">
      <c r="A54" s="21" t="s">
        <v>67</v>
      </c>
      <c r="B54" s="1">
        <v>6044</v>
      </c>
      <c r="C54" s="1">
        <v>1184.4000000000001</v>
      </c>
      <c r="D54" s="23">
        <v>178.50399999999999</v>
      </c>
    </row>
    <row r="55" spans="1:11" x14ac:dyDescent="0.35">
      <c r="A55" s="21" t="s">
        <v>60</v>
      </c>
      <c r="B55" s="1">
        <v>2653.25</v>
      </c>
      <c r="C55" s="1">
        <v>504.1</v>
      </c>
      <c r="D55" s="23">
        <v>258.3</v>
      </c>
    </row>
    <row r="56" spans="1:11" x14ac:dyDescent="0.35">
      <c r="A56" s="21" t="s">
        <v>54</v>
      </c>
      <c r="B56" s="1">
        <v>4501.45</v>
      </c>
      <c r="C56" s="1">
        <v>855.2</v>
      </c>
      <c r="D56" s="23">
        <v>191.81100000000001</v>
      </c>
    </row>
    <row r="57" spans="1:11" x14ac:dyDescent="0.35">
      <c r="A57" s="21" t="s">
        <v>61</v>
      </c>
      <c r="B57" s="1">
        <v>6499.6</v>
      </c>
      <c r="C57" s="1">
        <v>1234.9000000000001</v>
      </c>
      <c r="D57" s="23">
        <v>257.78699999999998</v>
      </c>
    </row>
    <row r="58" spans="1:11" x14ac:dyDescent="0.35">
      <c r="A58" s="21" t="s">
        <v>66</v>
      </c>
      <c r="B58" s="1">
        <v>6661.9</v>
      </c>
      <c r="C58" s="1">
        <v>1265.7</v>
      </c>
      <c r="D58" s="23">
        <v>214.7</v>
      </c>
    </row>
    <row r="59" spans="1:11" x14ac:dyDescent="0.35">
      <c r="A59" s="21" t="s">
        <v>62</v>
      </c>
      <c r="B59" s="1">
        <v>6287.2</v>
      </c>
      <c r="C59" s="1">
        <v>1194.5</v>
      </c>
      <c r="D59" s="23">
        <v>125.8</v>
      </c>
    </row>
    <row r="60" spans="1:11" ht="15" customHeight="1" x14ac:dyDescent="0.35">
      <c r="A60" s="21" t="s">
        <v>55</v>
      </c>
      <c r="B60" s="1">
        <v>5477.25</v>
      </c>
      <c r="C60" s="1">
        <v>1040.5999999999999</v>
      </c>
      <c r="D60" s="23">
        <v>40.4</v>
      </c>
    </row>
    <row r="61" spans="1:11" ht="15" customHeight="1" x14ac:dyDescent="0.35">
      <c r="A61" s="21" t="s">
        <v>63</v>
      </c>
      <c r="B61" s="1">
        <v>6075</v>
      </c>
      <c r="C61" s="1">
        <v>1075.2</v>
      </c>
      <c r="D61" s="23">
        <v>238.6</v>
      </c>
    </row>
    <row r="62" spans="1:11" x14ac:dyDescent="0.35">
      <c r="A62" s="21" t="s">
        <v>57</v>
      </c>
      <c r="B62" s="1">
        <v>7123</v>
      </c>
      <c r="C62" s="1">
        <v>1367.6</v>
      </c>
      <c r="D62" s="23">
        <v>312.2</v>
      </c>
    </row>
    <row r="63" spans="1:11" x14ac:dyDescent="0.35">
      <c r="A63" s="21" t="s">
        <v>64</v>
      </c>
      <c r="B63" s="1">
        <v>7500</v>
      </c>
      <c r="C63" s="1">
        <v>1327.5</v>
      </c>
      <c r="D63" s="23">
        <v>223.1</v>
      </c>
    </row>
    <row r="64" spans="1:11" x14ac:dyDescent="0.35">
      <c r="A64" s="21" t="s">
        <v>56</v>
      </c>
      <c r="B64" s="1">
        <v>7946</v>
      </c>
      <c r="C64" s="1">
        <v>1406.4</v>
      </c>
      <c r="D64" s="23">
        <v>240.3</v>
      </c>
    </row>
    <row r="65" spans="1:11" x14ac:dyDescent="0.35">
      <c r="A65" s="21" t="s">
        <v>58</v>
      </c>
      <c r="B65" s="1">
        <v>4989</v>
      </c>
      <c r="C65" s="1">
        <v>1147.5</v>
      </c>
      <c r="D65" s="23">
        <v>52.6</v>
      </c>
    </row>
    <row r="66" spans="1:11" x14ac:dyDescent="0.35">
      <c r="A66" s="21" t="s">
        <v>65</v>
      </c>
      <c r="B66" s="1">
        <v>7189</v>
      </c>
      <c r="C66" s="1">
        <v>1531.3</v>
      </c>
      <c r="D66" s="23">
        <v>457.3</v>
      </c>
    </row>
    <row r="67" spans="1:11" s="31" customFormat="1" x14ac:dyDescent="0.35">
      <c r="A67" s="71"/>
      <c r="B67" s="48"/>
      <c r="C67" s="48"/>
      <c r="D67" s="49"/>
      <c r="E67" s="48"/>
      <c r="F67" s="48"/>
      <c r="G67" s="48"/>
      <c r="H67" s="48"/>
      <c r="I67" s="48"/>
      <c r="J67" s="48"/>
    </row>
    <row r="68" spans="1:11" s="15" customFormat="1" ht="25" customHeight="1" x14ac:dyDescent="0.35">
      <c r="A68" s="19">
        <f>SUM(B68:J68)</f>
        <v>84660.9</v>
      </c>
      <c r="B68" s="14">
        <v>47445</v>
      </c>
      <c r="C68" s="14">
        <v>11326</v>
      </c>
      <c r="D68" s="22"/>
      <c r="E68" s="10"/>
      <c r="F68" s="9">
        <v>25228</v>
      </c>
      <c r="G68" s="14">
        <v>661.9</v>
      </c>
      <c r="H68" s="14" t="s">
        <v>180</v>
      </c>
      <c r="I68" s="14" t="s">
        <v>179</v>
      </c>
      <c r="J68" s="27"/>
      <c r="K68" s="31"/>
    </row>
    <row r="69" spans="1:11" s="15" customFormat="1" ht="25" customHeight="1" x14ac:dyDescent="0.35">
      <c r="A69" s="19">
        <f>K50</f>
        <v>83582.799999999974</v>
      </c>
      <c r="B69" s="14"/>
      <c r="C69" s="14"/>
      <c r="D69" s="22"/>
      <c r="E69" s="10"/>
      <c r="F69" s="9"/>
      <c r="G69" s="14"/>
      <c r="H69" s="14"/>
      <c r="I69" s="14"/>
      <c r="J69" s="27"/>
      <c r="K69" s="31"/>
    </row>
    <row r="70" spans="1:11" x14ac:dyDescent="0.35">
      <c r="A70" s="19">
        <f>A68-A69</f>
        <v>1078.1000000000204</v>
      </c>
      <c r="B70" s="1" t="s">
        <v>74</v>
      </c>
      <c r="H70" s="1"/>
      <c r="I70" s="1"/>
      <c r="J70" s="28"/>
    </row>
    <row r="71" spans="1:11" s="30" customFormat="1" x14ac:dyDescent="0.35">
      <c r="A71" s="47"/>
      <c r="B71" s="44"/>
      <c r="C71" s="44"/>
      <c r="D71" s="44"/>
      <c r="E71" s="44"/>
      <c r="F71" s="44"/>
      <c r="G71" s="44"/>
      <c r="H71" s="44"/>
      <c r="I71" s="44"/>
    </row>
    <row r="72" spans="1:11" s="30" customFormat="1" x14ac:dyDescent="0.35">
      <c r="A72" s="47"/>
      <c r="B72" s="44"/>
      <c r="C72" s="44"/>
      <c r="D72" s="44"/>
      <c r="E72" s="44"/>
      <c r="F72" s="44"/>
      <c r="G72" s="44"/>
      <c r="H72" s="44"/>
      <c r="I72" s="44"/>
    </row>
    <row r="73" spans="1:11" x14ac:dyDescent="0.35">
      <c r="A73" s="42"/>
      <c r="B73" s="46"/>
      <c r="C73" s="46"/>
      <c r="D73" s="77"/>
      <c r="E73" s="74" t="s">
        <v>71</v>
      </c>
      <c r="F73" s="17" t="s">
        <v>70</v>
      </c>
      <c r="G73" s="44"/>
    </row>
    <row r="74" spans="1:11" x14ac:dyDescent="0.35">
      <c r="A74" s="42"/>
      <c r="B74" s="46"/>
      <c r="C74" s="46"/>
      <c r="D74" s="77"/>
      <c r="E74" s="74">
        <f>C76+D76</f>
        <v>19290.192999999999</v>
      </c>
      <c r="F74" s="17">
        <f>1000*E74/B76</f>
        <v>230.7914188086545</v>
      </c>
      <c r="G74" s="44"/>
    </row>
    <row r="75" spans="1:11" x14ac:dyDescent="0.35">
      <c r="A75" s="42"/>
      <c r="B75" s="75" t="s">
        <v>183</v>
      </c>
      <c r="C75" s="16" t="s">
        <v>69</v>
      </c>
      <c r="D75" s="24" t="s">
        <v>68</v>
      </c>
      <c r="E75" s="74" t="s">
        <v>181</v>
      </c>
      <c r="F75" s="17" t="s">
        <v>182</v>
      </c>
      <c r="G75" s="44"/>
    </row>
    <row r="76" spans="1:11" x14ac:dyDescent="0.35">
      <c r="A76" s="42"/>
      <c r="B76" s="76">
        <f>K50</f>
        <v>83582.799999999974</v>
      </c>
      <c r="C76" s="16">
        <v>16278.4</v>
      </c>
      <c r="D76" s="24">
        <v>3011.7930000000001</v>
      </c>
      <c r="E76" s="74">
        <f>1000*D76/B76</f>
        <v>36.033645678297461</v>
      </c>
      <c r="F76" s="17">
        <f>C76/B76</f>
        <v>0.19475777313035703</v>
      </c>
      <c r="G76" s="44"/>
    </row>
    <row r="77" spans="1:11" x14ac:dyDescent="0.35">
      <c r="A77" s="47"/>
      <c r="B77" s="46"/>
      <c r="C77" s="44"/>
      <c r="D77" s="45"/>
      <c r="E77" s="44"/>
      <c r="F77" s="44"/>
      <c r="G77" s="44"/>
    </row>
    <row r="78" spans="1:11" x14ac:dyDescent="0.35">
      <c r="B78" s="18"/>
    </row>
    <row r="79" spans="1:11" x14ac:dyDescent="0.35">
      <c r="B79" s="18"/>
      <c r="E79" s="5">
        <v>230</v>
      </c>
    </row>
    <row r="80" spans="1:11" x14ac:dyDescent="0.35">
      <c r="E80" s="5">
        <v>36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B1D2-802F-43A3-9208-4C02B94DA37B}">
  <dimension ref="A1:CK112"/>
  <sheetViews>
    <sheetView topLeftCell="A97" zoomScaleNormal="100" workbookViewId="0">
      <selection activeCell="D109" sqref="D109"/>
    </sheetView>
  </sheetViews>
  <sheetFormatPr defaultRowHeight="14.5" x14ac:dyDescent="0.35"/>
  <cols>
    <col min="1" max="1" width="12.7265625" style="35" customWidth="1"/>
    <col min="2" max="2" width="10.90625" style="36" bestFit="1" customWidth="1"/>
    <col min="3" max="3" width="8.81640625" style="1" bestFit="1" customWidth="1"/>
    <col min="4" max="4" width="9" style="23" customWidth="1"/>
    <col min="5" max="5" width="9.81640625" style="5" bestFit="1" customWidth="1"/>
    <col min="6" max="6" width="9.54296875" style="17" customWidth="1"/>
    <col min="7" max="7" width="7.7265625" style="1" customWidth="1"/>
    <col min="8" max="8" width="8.81640625" style="2" bestFit="1" customWidth="1"/>
    <col min="9" max="9" width="8.81640625" style="3" bestFit="1" customWidth="1"/>
    <col min="10" max="10" width="9.81640625" style="29" bestFit="1" customWidth="1"/>
    <col min="11" max="11" width="8.7265625" style="33"/>
    <col min="12" max="12" width="11" style="21" customWidth="1"/>
  </cols>
  <sheetData>
    <row r="1" spans="1:12" x14ac:dyDescent="0.35">
      <c r="A1" s="35" t="s">
        <v>8</v>
      </c>
      <c r="B1" s="37" t="s">
        <v>0</v>
      </c>
      <c r="C1" s="19" t="s">
        <v>1</v>
      </c>
      <c r="D1" s="22" t="s">
        <v>6</v>
      </c>
      <c r="E1" s="19" t="s">
        <v>7</v>
      </c>
      <c r="F1" s="41" t="s">
        <v>2</v>
      </c>
      <c r="G1" s="19" t="s">
        <v>3</v>
      </c>
      <c r="H1" s="19" t="s">
        <v>4</v>
      </c>
      <c r="I1" s="19" t="s">
        <v>5</v>
      </c>
      <c r="J1" s="26" t="s">
        <v>75</v>
      </c>
      <c r="K1" s="32" t="s">
        <v>116</v>
      </c>
      <c r="L1" s="20" t="s">
        <v>8</v>
      </c>
    </row>
    <row r="2" spans="1:12" x14ac:dyDescent="0.35">
      <c r="A2" s="35" t="s">
        <v>76</v>
      </c>
      <c r="B2" s="18">
        <v>1983.7</v>
      </c>
      <c r="C2" s="6"/>
      <c r="D2" s="22"/>
      <c r="E2" s="10"/>
      <c r="G2" s="6"/>
      <c r="H2" s="7"/>
      <c r="I2" s="8"/>
      <c r="J2" s="27"/>
      <c r="K2" s="33">
        <f t="shared" ref="K2:K33" si="0">SUM(B2:J2)</f>
        <v>1983.7</v>
      </c>
      <c r="L2" s="20" t="s">
        <v>76</v>
      </c>
    </row>
    <row r="3" spans="1:12" x14ac:dyDescent="0.35">
      <c r="A3" s="35" t="s">
        <v>77</v>
      </c>
      <c r="B3" s="18">
        <v>1935.9</v>
      </c>
      <c r="C3" s="6"/>
      <c r="D3" s="22"/>
      <c r="E3" s="10"/>
      <c r="G3" s="6"/>
      <c r="H3" s="7"/>
      <c r="I3" s="8"/>
      <c r="J3" s="27"/>
      <c r="K3" s="33">
        <f t="shared" si="0"/>
        <v>1935.9</v>
      </c>
      <c r="L3" s="20" t="s">
        <v>77</v>
      </c>
    </row>
    <row r="4" spans="1:12" x14ac:dyDescent="0.35">
      <c r="A4" s="35" t="s">
        <v>13</v>
      </c>
      <c r="B4" s="18">
        <v>2097.4</v>
      </c>
      <c r="C4" s="6"/>
      <c r="D4" s="22"/>
      <c r="E4" s="10"/>
      <c r="G4" s="6"/>
      <c r="H4" s="7"/>
      <c r="I4" s="8"/>
      <c r="J4" s="27"/>
      <c r="K4" s="33">
        <f t="shared" si="0"/>
        <v>2097.4</v>
      </c>
      <c r="L4" s="20" t="s">
        <v>13</v>
      </c>
    </row>
    <row r="5" spans="1:12" x14ac:dyDescent="0.35">
      <c r="A5" s="35" t="s">
        <v>78</v>
      </c>
      <c r="B5" s="18">
        <v>1978.1</v>
      </c>
      <c r="C5" s="6"/>
      <c r="D5" s="22"/>
      <c r="E5" s="10"/>
      <c r="G5" s="6"/>
      <c r="H5" s="7"/>
      <c r="I5" s="8"/>
      <c r="J5" s="27"/>
      <c r="K5" s="33">
        <f t="shared" si="0"/>
        <v>1978.1</v>
      </c>
      <c r="L5" s="20" t="s">
        <v>78</v>
      </c>
    </row>
    <row r="6" spans="1:12" x14ac:dyDescent="0.35">
      <c r="A6" s="35" t="s">
        <v>79</v>
      </c>
      <c r="B6" s="18">
        <v>519</v>
      </c>
      <c r="C6" s="6">
        <v>399</v>
      </c>
      <c r="D6" s="22"/>
      <c r="E6" s="10">
        <v>485.2</v>
      </c>
      <c r="G6" s="6"/>
      <c r="H6" s="7"/>
      <c r="I6" s="8">
        <v>486.6</v>
      </c>
      <c r="J6" s="27"/>
      <c r="K6" s="33">
        <f t="shared" si="0"/>
        <v>1889.8000000000002</v>
      </c>
      <c r="L6" s="20" t="s">
        <v>79</v>
      </c>
    </row>
    <row r="7" spans="1:12" x14ac:dyDescent="0.35">
      <c r="A7" s="35" t="s">
        <v>80</v>
      </c>
      <c r="B7" s="18">
        <v>498.4</v>
      </c>
      <c r="C7" s="6"/>
      <c r="D7" s="22">
        <v>296.89999999999998</v>
      </c>
      <c r="E7" s="10"/>
      <c r="G7" s="6"/>
      <c r="H7" s="7">
        <v>455.4</v>
      </c>
      <c r="I7" s="8">
        <v>471.7</v>
      </c>
      <c r="J7" s="27"/>
      <c r="K7" s="33">
        <f t="shared" si="0"/>
        <v>1722.3999999999999</v>
      </c>
      <c r="L7" s="20" t="s">
        <v>80</v>
      </c>
    </row>
    <row r="8" spans="1:12" x14ac:dyDescent="0.35">
      <c r="A8" s="35" t="s">
        <v>80</v>
      </c>
      <c r="B8" s="18">
        <v>518</v>
      </c>
      <c r="C8" s="6"/>
      <c r="D8" s="22"/>
      <c r="E8" s="10"/>
      <c r="F8" s="17">
        <v>558.5</v>
      </c>
      <c r="G8" s="6"/>
      <c r="H8" s="7">
        <v>481.4</v>
      </c>
      <c r="I8" s="8"/>
      <c r="J8" s="27">
        <v>475.8</v>
      </c>
      <c r="K8" s="33">
        <f t="shared" si="0"/>
        <v>2033.7</v>
      </c>
      <c r="L8" s="20" t="s">
        <v>80</v>
      </c>
    </row>
    <row r="9" spans="1:12" x14ac:dyDescent="0.35">
      <c r="A9" s="35" t="s">
        <v>81</v>
      </c>
      <c r="B9" s="18">
        <v>2003.6</v>
      </c>
      <c r="C9" s="6"/>
      <c r="D9" s="22"/>
      <c r="E9" s="10"/>
      <c r="G9" s="6"/>
      <c r="H9" s="7"/>
      <c r="I9" s="8"/>
      <c r="J9" s="27"/>
      <c r="K9" s="33">
        <f t="shared" si="0"/>
        <v>2003.6</v>
      </c>
      <c r="L9" s="20" t="s">
        <v>81</v>
      </c>
    </row>
    <row r="10" spans="1:12" x14ac:dyDescent="0.35">
      <c r="A10" s="35" t="s">
        <v>81</v>
      </c>
      <c r="B10" s="18">
        <v>987.1</v>
      </c>
      <c r="C10" s="6"/>
      <c r="D10" s="22">
        <v>332.1</v>
      </c>
      <c r="E10" s="10"/>
      <c r="F10" s="17">
        <v>623.79999999999995</v>
      </c>
      <c r="G10" s="6"/>
      <c r="H10" s="7"/>
      <c r="I10" s="8"/>
      <c r="J10" s="27"/>
      <c r="K10" s="33">
        <f t="shared" si="0"/>
        <v>1943</v>
      </c>
      <c r="L10" s="20" t="s">
        <v>81</v>
      </c>
    </row>
    <row r="11" spans="1:12" x14ac:dyDescent="0.35">
      <c r="A11" s="35" t="s">
        <v>82</v>
      </c>
      <c r="B11" s="18">
        <v>1965.1</v>
      </c>
      <c r="C11" s="6"/>
      <c r="D11" s="22"/>
      <c r="E11" s="10"/>
      <c r="G11" s="6"/>
      <c r="H11" s="7"/>
      <c r="I11" s="8"/>
      <c r="J11" s="27"/>
      <c r="K11" s="33">
        <f t="shared" si="0"/>
        <v>1965.1</v>
      </c>
      <c r="L11" s="20" t="s">
        <v>82</v>
      </c>
    </row>
    <row r="12" spans="1:12" x14ac:dyDescent="0.35">
      <c r="A12" s="35" t="s">
        <v>83</v>
      </c>
      <c r="B12" s="18">
        <v>54.2</v>
      </c>
      <c r="C12" s="6">
        <v>1744.7</v>
      </c>
      <c r="D12" s="22"/>
      <c r="E12" s="10"/>
      <c r="F12" s="17">
        <v>314.10000000000002</v>
      </c>
      <c r="G12" s="6"/>
      <c r="H12" s="7"/>
      <c r="I12" s="8"/>
      <c r="J12" s="27"/>
      <c r="K12" s="33">
        <f t="shared" si="0"/>
        <v>2113</v>
      </c>
      <c r="L12" s="20" t="s">
        <v>83</v>
      </c>
    </row>
    <row r="13" spans="1:12" x14ac:dyDescent="0.35">
      <c r="A13" s="35" t="s">
        <v>83</v>
      </c>
      <c r="B13" s="18">
        <v>990.5</v>
      </c>
      <c r="C13" s="6">
        <v>603.4</v>
      </c>
      <c r="D13" s="22"/>
      <c r="E13" s="10"/>
      <c r="G13" s="6"/>
      <c r="H13" s="7"/>
      <c r="I13" s="8"/>
      <c r="J13" s="27"/>
      <c r="K13" s="33">
        <f t="shared" si="0"/>
        <v>1593.9</v>
      </c>
      <c r="L13" s="20" t="s">
        <v>83</v>
      </c>
    </row>
    <row r="14" spans="1:12" x14ac:dyDescent="0.35">
      <c r="A14" s="35" t="s">
        <v>84</v>
      </c>
      <c r="B14" s="18">
        <v>1662.9</v>
      </c>
      <c r="C14" s="6">
        <v>635</v>
      </c>
      <c r="D14" s="22"/>
      <c r="E14" s="10"/>
      <c r="G14" s="6"/>
      <c r="H14" s="7"/>
      <c r="I14" s="8"/>
      <c r="J14" s="27"/>
      <c r="K14" s="33">
        <f t="shared" si="0"/>
        <v>2297.9</v>
      </c>
      <c r="L14" s="20" t="s">
        <v>84</v>
      </c>
    </row>
    <row r="15" spans="1:12" x14ac:dyDescent="0.35">
      <c r="A15" s="35" t="s">
        <v>85</v>
      </c>
      <c r="B15" s="18">
        <v>490.1</v>
      </c>
      <c r="C15" s="6"/>
      <c r="D15" s="22"/>
      <c r="E15" s="10"/>
      <c r="G15" s="6"/>
      <c r="H15" s="7"/>
      <c r="I15" s="8">
        <v>1373.7</v>
      </c>
      <c r="J15" s="27"/>
      <c r="K15" s="33">
        <f t="shared" si="0"/>
        <v>1863.8000000000002</v>
      </c>
      <c r="L15" s="20" t="s">
        <v>85</v>
      </c>
    </row>
    <row r="16" spans="1:12" x14ac:dyDescent="0.35">
      <c r="A16" s="35" t="s">
        <v>93</v>
      </c>
      <c r="B16" s="18"/>
      <c r="C16" s="6"/>
      <c r="D16" s="22">
        <v>917.1</v>
      </c>
      <c r="E16" s="10"/>
      <c r="F16" s="17">
        <v>981.7</v>
      </c>
      <c r="G16" s="6"/>
      <c r="H16" s="7"/>
      <c r="I16" s="8"/>
      <c r="J16" s="27"/>
      <c r="K16" s="33">
        <f t="shared" si="0"/>
        <v>1898.8000000000002</v>
      </c>
      <c r="L16" s="20" t="s">
        <v>93</v>
      </c>
    </row>
    <row r="17" spans="1:12" x14ac:dyDescent="0.35">
      <c r="A17" s="35" t="s">
        <v>93</v>
      </c>
      <c r="B17" s="18"/>
      <c r="C17" s="6"/>
      <c r="D17" s="22">
        <v>244</v>
      </c>
      <c r="E17" s="10"/>
      <c r="F17" s="17">
        <v>341.9</v>
      </c>
      <c r="G17" s="6"/>
      <c r="H17" s="7">
        <v>1020.2</v>
      </c>
      <c r="I17" s="8"/>
      <c r="J17" s="27">
        <v>469</v>
      </c>
      <c r="K17" s="33">
        <f t="shared" si="0"/>
        <v>2075.1</v>
      </c>
      <c r="L17" s="20" t="s">
        <v>93</v>
      </c>
    </row>
    <row r="18" spans="1:12" x14ac:dyDescent="0.35">
      <c r="A18" s="35" t="s">
        <v>86</v>
      </c>
      <c r="B18" s="18"/>
      <c r="C18" s="6"/>
      <c r="D18" s="22">
        <v>296.7</v>
      </c>
      <c r="E18" s="10"/>
      <c r="F18" s="17">
        <v>359.3</v>
      </c>
      <c r="G18" s="6"/>
      <c r="H18" s="7"/>
      <c r="I18" s="8"/>
      <c r="J18" s="27"/>
      <c r="K18" s="33">
        <f t="shared" si="0"/>
        <v>656</v>
      </c>
      <c r="L18" s="20" t="s">
        <v>86</v>
      </c>
    </row>
    <row r="19" spans="1:12" x14ac:dyDescent="0.35">
      <c r="A19" s="35" t="s">
        <v>92</v>
      </c>
      <c r="B19" s="18">
        <v>2008.7</v>
      </c>
      <c r="C19" s="6"/>
      <c r="D19" s="22"/>
      <c r="E19" s="10"/>
      <c r="G19" s="6"/>
      <c r="H19" s="7"/>
      <c r="I19" s="8"/>
      <c r="J19" s="27"/>
      <c r="K19" s="33">
        <f t="shared" si="0"/>
        <v>2008.7</v>
      </c>
      <c r="L19" s="20" t="s">
        <v>92</v>
      </c>
    </row>
    <row r="20" spans="1:12" x14ac:dyDescent="0.35">
      <c r="A20" s="35" t="s">
        <v>90</v>
      </c>
      <c r="B20" s="18">
        <v>1009.5</v>
      </c>
      <c r="C20" s="6"/>
      <c r="D20" s="22"/>
      <c r="E20" s="10"/>
      <c r="G20" s="6"/>
      <c r="H20" s="7">
        <v>482.3</v>
      </c>
      <c r="I20" s="8"/>
      <c r="J20" s="27"/>
      <c r="K20" s="33">
        <f t="shared" si="0"/>
        <v>1491.8</v>
      </c>
      <c r="L20" s="20" t="s">
        <v>90</v>
      </c>
    </row>
    <row r="21" spans="1:12" x14ac:dyDescent="0.35">
      <c r="A21" s="35" t="s">
        <v>87</v>
      </c>
      <c r="B21" s="18"/>
      <c r="C21" s="6"/>
      <c r="D21" s="22"/>
      <c r="E21" s="10"/>
      <c r="F21" s="17">
        <v>582.9</v>
      </c>
      <c r="G21" s="6"/>
      <c r="H21" s="7"/>
      <c r="I21" s="8"/>
      <c r="J21" s="27">
        <v>871.8</v>
      </c>
      <c r="K21" s="33">
        <f t="shared" si="0"/>
        <v>1454.6999999999998</v>
      </c>
      <c r="L21" s="20" t="s">
        <v>87</v>
      </c>
    </row>
    <row r="22" spans="1:12" x14ac:dyDescent="0.35">
      <c r="A22" s="35" t="s">
        <v>88</v>
      </c>
      <c r="B22" s="18">
        <v>1017.9</v>
      </c>
      <c r="C22" s="6"/>
      <c r="D22" s="22"/>
      <c r="E22" s="10"/>
      <c r="F22" s="17">
        <v>651.1</v>
      </c>
      <c r="G22" s="6"/>
      <c r="H22" s="7">
        <v>74.599999999999994</v>
      </c>
      <c r="I22" s="8"/>
      <c r="J22" s="27"/>
      <c r="K22" s="33">
        <f t="shared" si="0"/>
        <v>1743.6</v>
      </c>
      <c r="L22" s="20" t="s">
        <v>88</v>
      </c>
    </row>
    <row r="23" spans="1:12" x14ac:dyDescent="0.35">
      <c r="A23" s="35" t="s">
        <v>26</v>
      </c>
      <c r="B23" s="18">
        <v>1019.6</v>
      </c>
      <c r="C23" s="6"/>
      <c r="D23" s="22"/>
      <c r="E23" s="10"/>
      <c r="F23" s="17">
        <v>298.89999999999998</v>
      </c>
      <c r="G23" s="6"/>
      <c r="H23" s="7"/>
      <c r="I23" s="8"/>
      <c r="J23" s="27"/>
      <c r="K23" s="33">
        <f t="shared" si="0"/>
        <v>1318.5</v>
      </c>
      <c r="L23" s="20" t="s">
        <v>26</v>
      </c>
    </row>
    <row r="24" spans="1:12" x14ac:dyDescent="0.35">
      <c r="A24" s="35" t="s">
        <v>91</v>
      </c>
      <c r="B24" s="18">
        <v>197.1</v>
      </c>
      <c r="C24" s="6"/>
      <c r="D24" s="22">
        <v>23</v>
      </c>
      <c r="E24" s="10"/>
      <c r="F24" s="17">
        <v>1690.7</v>
      </c>
      <c r="G24" s="6"/>
      <c r="H24" s="7">
        <v>26.4</v>
      </c>
      <c r="I24" s="8"/>
      <c r="J24" s="27"/>
      <c r="K24" s="33">
        <f t="shared" si="0"/>
        <v>1937.2</v>
      </c>
      <c r="L24" s="20" t="s">
        <v>91</v>
      </c>
    </row>
    <row r="25" spans="1:12" x14ac:dyDescent="0.35">
      <c r="A25" s="35" t="s">
        <v>89</v>
      </c>
      <c r="B25" s="18">
        <v>1490.7</v>
      </c>
      <c r="C25" s="6"/>
      <c r="D25" s="22"/>
      <c r="E25" s="10"/>
      <c r="F25" s="17">
        <v>411.3</v>
      </c>
      <c r="G25" s="6"/>
      <c r="H25" s="7"/>
      <c r="I25" s="8"/>
      <c r="J25" s="27"/>
      <c r="K25" s="33">
        <f t="shared" si="0"/>
        <v>1902</v>
      </c>
      <c r="L25" s="20" t="s">
        <v>89</v>
      </c>
    </row>
    <row r="26" spans="1:12" x14ac:dyDescent="0.35">
      <c r="A26" s="35" t="s">
        <v>115</v>
      </c>
      <c r="B26" s="18">
        <v>1461.4</v>
      </c>
      <c r="C26" s="6"/>
      <c r="D26" s="22"/>
      <c r="E26" s="10"/>
      <c r="F26" s="17">
        <v>304.39999999999998</v>
      </c>
      <c r="G26" s="6"/>
      <c r="H26" s="7"/>
      <c r="I26" s="8"/>
      <c r="J26" s="27"/>
      <c r="K26" s="33">
        <f t="shared" si="0"/>
        <v>1765.8000000000002</v>
      </c>
      <c r="L26" s="20" t="s">
        <v>115</v>
      </c>
    </row>
    <row r="27" spans="1:12" x14ac:dyDescent="0.35">
      <c r="A27" s="35" t="s">
        <v>114</v>
      </c>
      <c r="B27" s="18">
        <v>535.5</v>
      </c>
      <c r="C27" s="6"/>
      <c r="D27" s="22"/>
      <c r="E27" s="10"/>
      <c r="F27" s="17">
        <v>1506</v>
      </c>
      <c r="G27" s="6"/>
      <c r="H27" s="7"/>
      <c r="I27" s="8"/>
      <c r="J27" s="27"/>
      <c r="K27" s="33">
        <f t="shared" si="0"/>
        <v>2041.5</v>
      </c>
      <c r="L27" s="20" t="s">
        <v>114</v>
      </c>
    </row>
    <row r="28" spans="1:12" x14ac:dyDescent="0.35">
      <c r="A28" s="35" t="s">
        <v>113</v>
      </c>
      <c r="B28" s="18"/>
      <c r="C28" s="6"/>
      <c r="D28" s="22"/>
      <c r="E28" s="10"/>
      <c r="G28" s="6">
        <v>1326.1</v>
      </c>
      <c r="H28" s="7">
        <v>577.6</v>
      </c>
      <c r="I28" s="8"/>
      <c r="J28" s="27"/>
      <c r="K28" s="33">
        <f t="shared" si="0"/>
        <v>1903.6999999999998</v>
      </c>
      <c r="L28" s="20" t="s">
        <v>113</v>
      </c>
    </row>
    <row r="29" spans="1:12" x14ac:dyDescent="0.35">
      <c r="A29" s="35" t="s">
        <v>112</v>
      </c>
      <c r="B29" s="18">
        <v>1507.7</v>
      </c>
      <c r="C29" s="6"/>
      <c r="D29" s="22"/>
      <c r="E29" s="10"/>
      <c r="G29" s="6"/>
      <c r="H29" s="7">
        <v>518.6</v>
      </c>
      <c r="I29" s="8"/>
      <c r="J29" s="27"/>
      <c r="K29" s="33">
        <f t="shared" si="0"/>
        <v>2026.3000000000002</v>
      </c>
      <c r="L29" s="20" t="s">
        <v>112</v>
      </c>
    </row>
    <row r="30" spans="1:12" x14ac:dyDescent="0.35">
      <c r="A30" s="35" t="s">
        <v>111</v>
      </c>
      <c r="B30" s="18">
        <v>496.7</v>
      </c>
      <c r="C30" s="6"/>
      <c r="D30" s="22"/>
      <c r="E30" s="10">
        <v>481.6</v>
      </c>
      <c r="F30" s="17">
        <v>661.6</v>
      </c>
      <c r="G30" s="6"/>
      <c r="H30" s="7"/>
      <c r="I30" s="8"/>
      <c r="J30" s="27"/>
      <c r="K30" s="33">
        <f t="shared" si="0"/>
        <v>1639.9</v>
      </c>
      <c r="L30" s="20" t="s">
        <v>111</v>
      </c>
    </row>
    <row r="31" spans="1:12" x14ac:dyDescent="0.35">
      <c r="A31" s="35" t="s">
        <v>110</v>
      </c>
      <c r="B31" s="18">
        <v>1756.3</v>
      </c>
      <c r="C31" s="6"/>
      <c r="D31" s="22"/>
      <c r="E31" s="10"/>
      <c r="G31" s="6"/>
      <c r="H31" s="7"/>
      <c r="I31" s="8"/>
      <c r="J31" s="27"/>
      <c r="K31" s="33">
        <f t="shared" si="0"/>
        <v>1756.3</v>
      </c>
      <c r="L31" s="20" t="s">
        <v>110</v>
      </c>
    </row>
    <row r="32" spans="1:12" x14ac:dyDescent="0.35">
      <c r="A32" s="35" t="s">
        <v>109</v>
      </c>
      <c r="B32" s="18">
        <v>1525.8</v>
      </c>
      <c r="C32" s="6"/>
      <c r="D32" s="22"/>
      <c r="E32" s="10"/>
      <c r="G32" s="6"/>
      <c r="H32" s="7"/>
      <c r="I32" s="8"/>
      <c r="J32" s="27"/>
      <c r="K32" s="33">
        <f t="shared" si="0"/>
        <v>1525.8</v>
      </c>
      <c r="L32" s="20" t="s">
        <v>109</v>
      </c>
    </row>
    <row r="33" spans="1:13" x14ac:dyDescent="0.35">
      <c r="A33" s="35" t="s">
        <v>108</v>
      </c>
      <c r="B33" s="18">
        <v>1622.4</v>
      </c>
      <c r="C33" s="6"/>
      <c r="D33" s="22"/>
      <c r="E33" s="10"/>
      <c r="G33" s="6"/>
      <c r="H33" s="7"/>
      <c r="I33" s="8"/>
      <c r="J33" s="27">
        <v>433.3</v>
      </c>
      <c r="K33" s="33">
        <f t="shared" si="0"/>
        <v>2055.7000000000003</v>
      </c>
      <c r="L33" s="20" t="s">
        <v>108</v>
      </c>
    </row>
    <row r="34" spans="1:13" x14ac:dyDescent="0.35">
      <c r="A34" s="35" t="s">
        <v>107</v>
      </c>
      <c r="B34" s="18"/>
      <c r="C34" s="6"/>
      <c r="D34" s="22">
        <v>996.7</v>
      </c>
      <c r="E34" s="10"/>
      <c r="F34" s="17">
        <v>595.6</v>
      </c>
      <c r="G34" s="6"/>
      <c r="H34" s="7"/>
      <c r="I34" s="8"/>
      <c r="J34" s="27"/>
      <c r="K34" s="33">
        <f t="shared" ref="K34:K52" si="1">SUM(B34:J34)</f>
        <v>1592.3000000000002</v>
      </c>
      <c r="L34" s="20" t="s">
        <v>107</v>
      </c>
    </row>
    <row r="35" spans="1:13" x14ac:dyDescent="0.35">
      <c r="A35" s="35" t="s">
        <v>35</v>
      </c>
      <c r="B35" s="18"/>
      <c r="C35" s="6"/>
      <c r="D35" s="22"/>
      <c r="E35" s="10"/>
      <c r="F35" s="17">
        <v>629.29999999999995</v>
      </c>
      <c r="G35" s="6"/>
      <c r="H35" s="7">
        <v>477.9</v>
      </c>
      <c r="I35" s="8">
        <v>434.4</v>
      </c>
      <c r="J35" s="27"/>
      <c r="K35" s="33">
        <f t="shared" si="1"/>
        <v>1541.6</v>
      </c>
      <c r="L35" s="20" t="s">
        <v>35</v>
      </c>
    </row>
    <row r="36" spans="1:13" x14ac:dyDescent="0.35">
      <c r="A36" s="35" t="s">
        <v>106</v>
      </c>
      <c r="B36" s="18">
        <v>993.5</v>
      </c>
      <c r="C36" s="6"/>
      <c r="D36" s="22"/>
      <c r="E36" s="10"/>
      <c r="F36" s="17">
        <v>295.7</v>
      </c>
      <c r="G36" s="6"/>
      <c r="H36" s="7"/>
      <c r="I36" s="8">
        <v>483.9</v>
      </c>
      <c r="J36" s="27"/>
      <c r="K36" s="33">
        <f t="shared" si="1"/>
        <v>1773.1</v>
      </c>
      <c r="L36" s="20" t="s">
        <v>106</v>
      </c>
    </row>
    <row r="37" spans="1:13" x14ac:dyDescent="0.35">
      <c r="A37" s="35" t="s">
        <v>105</v>
      </c>
      <c r="B37" s="18">
        <v>2033.1</v>
      </c>
      <c r="C37" s="6"/>
      <c r="D37" s="22"/>
      <c r="E37" s="10"/>
      <c r="G37" s="6"/>
      <c r="H37" s="7"/>
      <c r="I37" s="8"/>
      <c r="J37" s="27"/>
      <c r="K37" s="33">
        <f t="shared" si="1"/>
        <v>2033.1</v>
      </c>
      <c r="L37" s="20" t="s">
        <v>105</v>
      </c>
    </row>
    <row r="38" spans="1:13" x14ac:dyDescent="0.35">
      <c r="A38" s="35" t="s">
        <v>104</v>
      </c>
      <c r="B38" s="18">
        <v>1914.3</v>
      </c>
      <c r="C38" s="6"/>
      <c r="D38" s="22"/>
      <c r="E38" s="10"/>
      <c r="G38" s="6"/>
      <c r="H38" s="7"/>
      <c r="I38" s="8"/>
      <c r="J38" s="27"/>
      <c r="K38" s="33">
        <f t="shared" si="1"/>
        <v>1914.3</v>
      </c>
      <c r="L38" s="20" t="s">
        <v>104</v>
      </c>
    </row>
    <row r="39" spans="1:13" x14ac:dyDescent="0.35">
      <c r="A39" s="35" t="s">
        <v>103</v>
      </c>
      <c r="B39" s="18">
        <v>845.5</v>
      </c>
      <c r="C39" s="6">
        <v>1137.5999999999999</v>
      </c>
      <c r="D39" s="22"/>
      <c r="E39" s="10"/>
      <c r="G39" s="6"/>
      <c r="H39" s="7"/>
      <c r="I39" s="8"/>
      <c r="J39" s="27"/>
      <c r="K39" s="33">
        <f t="shared" si="1"/>
        <v>1983.1</v>
      </c>
      <c r="L39" s="20" t="s">
        <v>103</v>
      </c>
    </row>
    <row r="40" spans="1:13" x14ac:dyDescent="0.35">
      <c r="A40" s="35" t="s">
        <v>102</v>
      </c>
      <c r="B40" s="18">
        <v>1895.5</v>
      </c>
      <c r="C40" s="6"/>
      <c r="D40" s="22"/>
      <c r="E40" s="10"/>
      <c r="G40" s="6"/>
      <c r="H40" s="7"/>
      <c r="I40" s="8"/>
      <c r="J40" s="27"/>
      <c r="K40" s="33">
        <f t="shared" si="1"/>
        <v>1895.5</v>
      </c>
      <c r="L40" s="20" t="s">
        <v>102</v>
      </c>
    </row>
    <row r="41" spans="1:13" x14ac:dyDescent="0.35">
      <c r="A41" s="35" t="s">
        <v>101</v>
      </c>
      <c r="B41" s="18">
        <v>1512</v>
      </c>
      <c r="C41" s="6"/>
      <c r="D41" s="22"/>
      <c r="E41" s="10"/>
      <c r="G41" s="6"/>
      <c r="H41" s="7"/>
      <c r="I41" s="8"/>
      <c r="J41" s="27"/>
      <c r="K41" s="33">
        <f t="shared" si="1"/>
        <v>1512</v>
      </c>
      <c r="L41" s="20" t="s">
        <v>101</v>
      </c>
    </row>
    <row r="42" spans="1:13" x14ac:dyDescent="0.35">
      <c r="A42" s="35" t="s">
        <v>100</v>
      </c>
      <c r="B42" s="18">
        <v>2046</v>
      </c>
      <c r="C42" s="6"/>
      <c r="D42" s="22"/>
      <c r="E42" s="10"/>
      <c r="G42" s="6"/>
      <c r="H42" s="7"/>
      <c r="I42" s="8"/>
      <c r="J42" s="27"/>
      <c r="K42" s="33">
        <f t="shared" si="1"/>
        <v>2046</v>
      </c>
      <c r="L42" s="20" t="s">
        <v>100</v>
      </c>
    </row>
    <row r="43" spans="1:13" x14ac:dyDescent="0.35">
      <c r="A43" s="35" t="s">
        <v>100</v>
      </c>
      <c r="B43" s="18">
        <v>1895.5</v>
      </c>
      <c r="C43" s="6"/>
      <c r="D43" s="22"/>
      <c r="E43" s="10"/>
      <c r="G43" s="6"/>
      <c r="H43" s="7"/>
      <c r="I43" s="8"/>
      <c r="J43" s="27"/>
      <c r="K43" s="33">
        <f t="shared" si="1"/>
        <v>1895.5</v>
      </c>
      <c r="L43" s="20" t="s">
        <v>100</v>
      </c>
    </row>
    <row r="44" spans="1:13" x14ac:dyDescent="0.35">
      <c r="A44" s="35" t="s">
        <v>99</v>
      </c>
      <c r="B44" s="18"/>
      <c r="C44" s="6">
        <v>1912.2</v>
      </c>
      <c r="D44" s="22"/>
      <c r="E44" s="10"/>
      <c r="G44" s="6"/>
      <c r="H44" s="7"/>
      <c r="I44" s="8"/>
      <c r="J44" s="27"/>
      <c r="K44" s="33">
        <f t="shared" si="1"/>
        <v>1912.2</v>
      </c>
      <c r="L44" s="20" t="s">
        <v>99</v>
      </c>
    </row>
    <row r="45" spans="1:13" x14ac:dyDescent="0.35">
      <c r="A45" s="35" t="s">
        <v>98</v>
      </c>
      <c r="B45" s="18">
        <v>1512</v>
      </c>
      <c r="C45" s="6"/>
      <c r="D45" s="22"/>
      <c r="E45" s="10"/>
      <c r="G45" s="6"/>
      <c r="H45" s="7"/>
      <c r="I45" s="8"/>
      <c r="J45" s="27"/>
      <c r="K45" s="33">
        <f t="shared" si="1"/>
        <v>1512</v>
      </c>
      <c r="L45" s="20" t="s">
        <v>98</v>
      </c>
    </row>
    <row r="46" spans="1:13" x14ac:dyDescent="0.35">
      <c r="A46" s="35" t="s">
        <v>97</v>
      </c>
      <c r="B46" s="18">
        <v>504.2</v>
      </c>
      <c r="C46" s="6"/>
      <c r="D46" s="22"/>
      <c r="E46" s="10"/>
      <c r="G46" s="6"/>
      <c r="H46" s="7"/>
      <c r="I46" s="8">
        <v>495.1</v>
      </c>
      <c r="J46" s="27">
        <v>1082.0999999999999</v>
      </c>
      <c r="K46" s="33">
        <f t="shared" si="1"/>
        <v>2081.3999999999996</v>
      </c>
      <c r="L46" s="20" t="s">
        <v>97</v>
      </c>
    </row>
    <row r="47" spans="1:13" x14ac:dyDescent="0.35">
      <c r="A47" s="35" t="s">
        <v>97</v>
      </c>
      <c r="B47" s="18">
        <v>994.4</v>
      </c>
      <c r="C47" s="6">
        <v>999.1</v>
      </c>
      <c r="D47" s="22"/>
      <c r="E47" s="10"/>
      <c r="G47" s="6"/>
      <c r="H47" s="7"/>
      <c r="I47" s="8"/>
      <c r="J47" s="27"/>
      <c r="K47" s="33">
        <f t="shared" si="1"/>
        <v>1993.5</v>
      </c>
      <c r="L47" s="20" t="s">
        <v>97</v>
      </c>
    </row>
    <row r="48" spans="1:13" x14ac:dyDescent="0.35">
      <c r="A48" s="35" t="s">
        <v>96</v>
      </c>
      <c r="B48" s="18">
        <v>600.79999999999995</v>
      </c>
      <c r="C48" s="6">
        <v>49</v>
      </c>
      <c r="D48" s="22"/>
      <c r="E48" s="10"/>
      <c r="G48" s="6"/>
      <c r="H48" s="7">
        <v>992.5</v>
      </c>
      <c r="I48" s="8"/>
      <c r="J48" s="27"/>
      <c r="K48" s="33">
        <f t="shared" si="1"/>
        <v>1642.3</v>
      </c>
      <c r="L48" s="20" t="s">
        <v>96</v>
      </c>
      <c r="M48" s="34"/>
    </row>
    <row r="49" spans="1:12" x14ac:dyDescent="0.35">
      <c r="A49" s="35" t="s">
        <v>95</v>
      </c>
      <c r="B49" s="18">
        <v>1000.2</v>
      </c>
      <c r="C49" s="6"/>
      <c r="D49" s="22"/>
      <c r="E49" s="10"/>
      <c r="F49" s="17">
        <v>938.7</v>
      </c>
      <c r="G49" s="6"/>
      <c r="H49" s="7"/>
      <c r="I49" s="8"/>
      <c r="J49" s="27"/>
      <c r="K49" s="33">
        <f t="shared" si="1"/>
        <v>1938.9</v>
      </c>
      <c r="L49" s="20" t="s">
        <v>95</v>
      </c>
    </row>
    <row r="50" spans="1:12" x14ac:dyDescent="0.35">
      <c r="A50" s="35" t="s">
        <v>95</v>
      </c>
      <c r="B50" s="18">
        <v>1972.4</v>
      </c>
      <c r="C50" s="6"/>
      <c r="D50" s="22"/>
      <c r="E50" s="10"/>
      <c r="G50" s="6"/>
      <c r="H50" s="7"/>
      <c r="I50" s="8"/>
      <c r="J50" s="27"/>
      <c r="K50" s="33">
        <f t="shared" si="1"/>
        <v>1972.4</v>
      </c>
      <c r="L50" s="20" t="s">
        <v>95</v>
      </c>
    </row>
    <row r="51" spans="1:12" x14ac:dyDescent="0.35">
      <c r="A51" s="35" t="s">
        <v>94</v>
      </c>
      <c r="B51" s="18">
        <v>1984.9</v>
      </c>
      <c r="C51" s="6"/>
      <c r="D51" s="22"/>
      <c r="E51" s="10"/>
      <c r="G51" s="6"/>
      <c r="H51" s="7"/>
      <c r="I51" s="8"/>
      <c r="J51" s="27"/>
      <c r="K51" s="33">
        <f t="shared" si="1"/>
        <v>1984.9</v>
      </c>
      <c r="L51" s="20" t="s">
        <v>94</v>
      </c>
    </row>
    <row r="52" spans="1:12" x14ac:dyDescent="0.35">
      <c r="A52" s="35" t="s">
        <v>94</v>
      </c>
      <c r="B52" s="18">
        <v>351.4</v>
      </c>
      <c r="C52" s="6"/>
      <c r="D52" s="22"/>
      <c r="E52" s="10"/>
      <c r="F52" s="17">
        <v>1488.5</v>
      </c>
      <c r="G52" s="6"/>
      <c r="H52" s="7"/>
      <c r="I52" s="8"/>
      <c r="J52" s="27"/>
      <c r="K52" s="33">
        <f t="shared" si="1"/>
        <v>1839.9</v>
      </c>
      <c r="L52" s="20" t="s">
        <v>94</v>
      </c>
    </row>
    <row r="53" spans="1:12" s="30" customFormat="1" x14ac:dyDescent="0.35">
      <c r="A53" s="42"/>
      <c r="B53" s="46"/>
      <c r="C53" s="48"/>
      <c r="D53" s="49"/>
      <c r="E53" s="48"/>
      <c r="F53" s="46"/>
      <c r="G53" s="48"/>
      <c r="H53" s="48"/>
      <c r="I53" s="48"/>
      <c r="J53" s="48"/>
      <c r="K53" s="33"/>
      <c r="L53" s="50"/>
    </row>
    <row r="54" spans="1:12" x14ac:dyDescent="0.35">
      <c r="A54" s="35" t="s">
        <v>117</v>
      </c>
      <c r="B54" s="40">
        <f t="shared" ref="B54:J54" si="2">SUM(B2:B52)</f>
        <v>55389.000000000007</v>
      </c>
      <c r="C54" s="8">
        <f t="shared" si="2"/>
        <v>7480</v>
      </c>
      <c r="D54" s="8">
        <f t="shared" si="2"/>
        <v>3106.5</v>
      </c>
      <c r="E54" s="8">
        <f t="shared" si="2"/>
        <v>966.8</v>
      </c>
      <c r="F54" s="40">
        <f t="shared" si="2"/>
        <v>13234.000000000002</v>
      </c>
      <c r="G54" s="8">
        <f t="shared" si="2"/>
        <v>1326.1</v>
      </c>
      <c r="H54" s="8">
        <f t="shared" si="2"/>
        <v>5106.8999999999996</v>
      </c>
      <c r="I54" s="8">
        <f t="shared" si="2"/>
        <v>3745.4</v>
      </c>
      <c r="J54" s="8">
        <f t="shared" si="2"/>
        <v>3332</v>
      </c>
      <c r="L54" s="20"/>
    </row>
    <row r="55" spans="1:12" x14ac:dyDescent="0.35">
      <c r="B55" s="40">
        <f>B54+D54+E54</f>
        <v>59462.30000000001</v>
      </c>
      <c r="C55" s="8">
        <f>C54</f>
        <v>7480</v>
      </c>
      <c r="D55" s="8"/>
      <c r="E55" s="8"/>
      <c r="F55" s="40">
        <f>F54+H54+I54+J54</f>
        <v>25418.300000000003</v>
      </c>
      <c r="G55" s="8">
        <f>G54</f>
        <v>1326.1</v>
      </c>
      <c r="H55" s="8"/>
      <c r="I55" s="8"/>
      <c r="J55" s="8"/>
      <c r="L55" s="20"/>
    </row>
    <row r="56" spans="1:12" x14ac:dyDescent="0.35">
      <c r="A56" s="35" t="s">
        <v>118</v>
      </c>
      <c r="B56" s="18">
        <f>SUM(B54:J54)</f>
        <v>93686.7</v>
      </c>
      <c r="C56" s="6"/>
      <c r="D56" s="22"/>
      <c r="E56" s="10"/>
      <c r="G56" s="6"/>
      <c r="H56" s="7"/>
      <c r="I56" s="8"/>
      <c r="J56" s="27"/>
      <c r="L56" s="20"/>
    </row>
    <row r="57" spans="1:12" s="30" customFormat="1" x14ac:dyDescent="0.35">
      <c r="A57" s="42"/>
      <c r="B57" s="46"/>
      <c r="C57" s="48"/>
      <c r="D57" s="49"/>
      <c r="E57" s="48"/>
      <c r="F57" s="46"/>
      <c r="G57" s="48"/>
      <c r="H57" s="48"/>
      <c r="I57" s="48"/>
      <c r="J57" s="48"/>
      <c r="K57" s="33"/>
      <c r="L57" s="50"/>
    </row>
    <row r="58" spans="1:12" x14ac:dyDescent="0.35">
      <c r="A58" s="37" t="s">
        <v>119</v>
      </c>
      <c r="B58" s="18"/>
      <c r="C58" s="6" t="s">
        <v>129</v>
      </c>
      <c r="D58" s="22"/>
      <c r="E58" s="10"/>
      <c r="G58" s="6"/>
      <c r="H58" s="7"/>
      <c r="I58" s="8"/>
      <c r="J58" s="27"/>
      <c r="L58" s="19"/>
    </row>
    <row r="59" spans="1:12" x14ac:dyDescent="0.35">
      <c r="A59" s="35" t="s">
        <v>84</v>
      </c>
      <c r="B59" s="18">
        <v>25581.9</v>
      </c>
      <c r="C59" s="18">
        <v>1162.0999999999999</v>
      </c>
      <c r="D59" s="62">
        <v>1162100</v>
      </c>
      <c r="E59" s="10"/>
      <c r="G59" s="6"/>
      <c r="H59" s="7"/>
      <c r="I59" s="8"/>
      <c r="J59" s="27"/>
      <c r="L59" s="19"/>
    </row>
    <row r="60" spans="1:12" x14ac:dyDescent="0.35">
      <c r="A60" s="35" t="s">
        <v>120</v>
      </c>
      <c r="B60" s="18">
        <v>6546.3</v>
      </c>
      <c r="C60" s="18">
        <v>310.8</v>
      </c>
      <c r="D60" s="62">
        <v>310800</v>
      </c>
      <c r="E60" s="10"/>
      <c r="G60" s="6"/>
      <c r="H60" s="7"/>
      <c r="I60" s="8"/>
      <c r="J60" s="27"/>
      <c r="L60" s="19"/>
    </row>
    <row r="61" spans="1:12" x14ac:dyDescent="0.35">
      <c r="A61" s="35" t="s">
        <v>121</v>
      </c>
      <c r="B61" s="18">
        <v>10365.799999999999</v>
      </c>
      <c r="C61" s="18">
        <v>484.75</v>
      </c>
      <c r="D61" s="62">
        <v>484750</v>
      </c>
      <c r="E61" s="10"/>
      <c r="G61" s="6"/>
      <c r="H61" s="7"/>
      <c r="I61" s="8"/>
      <c r="J61" s="27"/>
      <c r="L61" s="19"/>
    </row>
    <row r="62" spans="1:12" x14ac:dyDescent="0.35">
      <c r="A62" s="35" t="s">
        <v>122</v>
      </c>
      <c r="B62" s="18">
        <v>7201.7</v>
      </c>
      <c r="C62" s="18">
        <v>339.75799999999998</v>
      </c>
      <c r="D62" s="62">
        <v>339758</v>
      </c>
      <c r="E62" s="10"/>
      <c r="G62" s="6"/>
      <c r="H62" s="7"/>
      <c r="I62" s="8"/>
      <c r="J62" s="27"/>
      <c r="L62" s="19"/>
    </row>
    <row r="63" spans="1:12" x14ac:dyDescent="0.35">
      <c r="A63" s="35" t="s">
        <v>123</v>
      </c>
      <c r="B63" s="18">
        <v>6948.2</v>
      </c>
      <c r="C63" s="18">
        <v>315.97699999999998</v>
      </c>
      <c r="D63" s="62">
        <v>315977</v>
      </c>
      <c r="E63" s="10"/>
      <c r="G63" s="6"/>
      <c r="H63" s="7"/>
      <c r="I63" s="8"/>
      <c r="J63" s="27"/>
      <c r="L63" s="19"/>
    </row>
    <row r="64" spans="1:12" x14ac:dyDescent="0.35">
      <c r="A64" s="35" t="s">
        <v>108</v>
      </c>
      <c r="B64" s="18">
        <v>10933.5</v>
      </c>
      <c r="C64" s="18">
        <v>559.26</v>
      </c>
      <c r="D64" s="62">
        <v>559260</v>
      </c>
      <c r="E64" s="10"/>
      <c r="G64" s="6"/>
      <c r="H64" s="7"/>
      <c r="I64" s="8"/>
      <c r="J64" s="27"/>
    </row>
    <row r="65" spans="1:12" x14ac:dyDescent="0.35">
      <c r="A65" s="35" t="s">
        <v>124</v>
      </c>
      <c r="B65" s="18">
        <v>5390.6</v>
      </c>
      <c r="C65" s="18">
        <v>377.34</v>
      </c>
      <c r="D65" s="62">
        <v>377340</v>
      </c>
    </row>
    <row r="66" spans="1:12" x14ac:dyDescent="0.35">
      <c r="A66" s="35" t="s">
        <v>97</v>
      </c>
      <c r="B66" s="18">
        <v>9675.4</v>
      </c>
      <c r="C66" s="18">
        <v>677.28700000000003</v>
      </c>
      <c r="D66" s="62">
        <v>677287</v>
      </c>
    </row>
    <row r="67" spans="1:12" x14ac:dyDescent="0.35">
      <c r="A67" s="35" t="s">
        <v>125</v>
      </c>
      <c r="B67" s="18">
        <v>9739.2999999999993</v>
      </c>
      <c r="C67" s="18">
        <v>754.56</v>
      </c>
      <c r="D67" s="62">
        <v>754560</v>
      </c>
    </row>
    <row r="68" spans="1:12" x14ac:dyDescent="0.35">
      <c r="A68" s="35" t="s">
        <v>128</v>
      </c>
      <c r="B68" s="38">
        <f>SUM(B59:B67)</f>
        <v>92382.7</v>
      </c>
    </row>
    <row r="69" spans="1:12" x14ac:dyDescent="0.35">
      <c r="A69" s="35" t="s">
        <v>126</v>
      </c>
      <c r="B69" s="38">
        <f>B56</f>
        <v>93686.7</v>
      </c>
    </row>
    <row r="70" spans="1:12" x14ac:dyDescent="0.35">
      <c r="A70" s="35" t="s">
        <v>127</v>
      </c>
      <c r="B70" s="39">
        <f>B69-B68</f>
        <v>1304</v>
      </c>
    </row>
    <row r="71" spans="1:12" s="30" customFormat="1" x14ac:dyDescent="0.35">
      <c r="A71" s="42"/>
      <c r="B71" s="43"/>
      <c r="C71" s="44"/>
      <c r="D71" s="45"/>
      <c r="E71" s="44"/>
      <c r="F71" s="46"/>
      <c r="G71" s="44"/>
      <c r="H71" s="44"/>
      <c r="I71" s="44"/>
      <c r="K71" s="33"/>
      <c r="L71" s="47"/>
    </row>
    <row r="72" spans="1:12" s="30" customFormat="1" x14ac:dyDescent="0.35">
      <c r="A72" s="42"/>
      <c r="B72" s="43"/>
      <c r="C72" s="44"/>
      <c r="D72" s="45"/>
      <c r="E72" s="44"/>
      <c r="F72" s="46"/>
      <c r="G72" s="44"/>
      <c r="H72" s="61" t="s">
        <v>73</v>
      </c>
      <c r="I72" s="64" t="s">
        <v>148</v>
      </c>
      <c r="J72" s="60">
        <f>SUM(D59:D67)</f>
        <v>4981832</v>
      </c>
      <c r="K72" s="33"/>
      <c r="L72" s="47"/>
    </row>
    <row r="73" spans="1:12" s="30" customFormat="1" x14ac:dyDescent="0.35">
      <c r="A73" s="42"/>
      <c r="B73" s="43"/>
      <c r="C73" s="44"/>
      <c r="D73" s="45"/>
      <c r="E73" s="44"/>
      <c r="F73" s="46"/>
      <c r="G73" s="44"/>
      <c r="H73" s="44"/>
      <c r="I73" s="44"/>
      <c r="K73" s="33"/>
      <c r="L73" s="47"/>
    </row>
    <row r="74" spans="1:12" x14ac:dyDescent="0.35">
      <c r="A74" s="35" t="s">
        <v>130</v>
      </c>
      <c r="J74" s="57"/>
    </row>
    <row r="75" spans="1:12" x14ac:dyDescent="0.35">
      <c r="A75" s="35" t="s">
        <v>145</v>
      </c>
      <c r="B75" s="36">
        <v>7137.8</v>
      </c>
      <c r="H75" s="2">
        <f>SUM(B75:G75)</f>
        <v>7137.8</v>
      </c>
      <c r="I75" s="3">
        <v>250</v>
      </c>
      <c r="J75" s="57">
        <f>H75*I75</f>
        <v>1784450</v>
      </c>
    </row>
    <row r="76" spans="1:12" x14ac:dyDescent="0.35">
      <c r="A76" s="35" t="s">
        <v>131</v>
      </c>
      <c r="B76" s="36">
        <v>2844.75</v>
      </c>
      <c r="C76" s="1">
        <v>3427.7</v>
      </c>
      <c r="H76" s="2">
        <f t="shared" ref="H76:H92" si="3">SUM(B76:G76)</f>
        <v>6272.45</v>
      </c>
      <c r="I76" s="3">
        <v>250</v>
      </c>
      <c r="J76" s="57">
        <f t="shared" ref="J76:J92" si="4">H76*I76</f>
        <v>1568112.5</v>
      </c>
    </row>
    <row r="77" spans="1:12" x14ac:dyDescent="0.35">
      <c r="A77" s="35" t="s">
        <v>132</v>
      </c>
      <c r="B77" s="36">
        <v>4029.1</v>
      </c>
      <c r="H77" s="2">
        <f t="shared" si="3"/>
        <v>4029.1</v>
      </c>
      <c r="I77" s="3">
        <v>250</v>
      </c>
      <c r="J77" s="57">
        <f t="shared" si="4"/>
        <v>1007275</v>
      </c>
    </row>
    <row r="78" spans="1:12" x14ac:dyDescent="0.35">
      <c r="A78" s="35" t="s">
        <v>79</v>
      </c>
      <c r="F78" s="17">
        <v>4047.3</v>
      </c>
      <c r="H78" s="2">
        <f t="shared" si="3"/>
        <v>4047.3</v>
      </c>
      <c r="I78" s="3">
        <v>250</v>
      </c>
      <c r="J78" s="57">
        <f t="shared" si="4"/>
        <v>1011825</v>
      </c>
    </row>
    <row r="79" spans="1:12" x14ac:dyDescent="0.35">
      <c r="A79" s="35" t="s">
        <v>82</v>
      </c>
      <c r="B79" s="36">
        <v>4593.7</v>
      </c>
      <c r="H79" s="2">
        <f t="shared" si="3"/>
        <v>4593.7</v>
      </c>
      <c r="I79" s="3">
        <v>250</v>
      </c>
      <c r="J79" s="57">
        <f t="shared" si="4"/>
        <v>1148425</v>
      </c>
    </row>
    <row r="80" spans="1:12" x14ac:dyDescent="0.35">
      <c r="A80" s="35" t="s">
        <v>79</v>
      </c>
      <c r="B80" s="36">
        <v>4077.7</v>
      </c>
      <c r="H80" s="2">
        <f t="shared" si="3"/>
        <v>4077.7</v>
      </c>
      <c r="I80" s="3">
        <v>250</v>
      </c>
      <c r="J80" s="57">
        <f t="shared" si="4"/>
        <v>1019425</v>
      </c>
    </row>
    <row r="81" spans="1:12" x14ac:dyDescent="0.35">
      <c r="A81" s="35" t="s">
        <v>139</v>
      </c>
      <c r="F81" s="17">
        <v>5193.05</v>
      </c>
      <c r="H81" s="2">
        <f t="shared" si="3"/>
        <v>5193.05</v>
      </c>
      <c r="I81" s="3">
        <v>250</v>
      </c>
      <c r="J81" s="57">
        <f t="shared" si="4"/>
        <v>1298262.5</v>
      </c>
    </row>
    <row r="82" spans="1:12" x14ac:dyDescent="0.35">
      <c r="A82" s="35" t="s">
        <v>140</v>
      </c>
      <c r="F82" s="17">
        <v>6111.5</v>
      </c>
      <c r="H82" s="2">
        <f t="shared" si="3"/>
        <v>6111.5</v>
      </c>
      <c r="I82" s="3">
        <v>250</v>
      </c>
      <c r="J82" s="57">
        <f t="shared" si="4"/>
        <v>1527875</v>
      </c>
    </row>
    <row r="83" spans="1:12" x14ac:dyDescent="0.35">
      <c r="A83" s="35" t="s">
        <v>23</v>
      </c>
      <c r="B83" s="36">
        <v>2206.6999999999998</v>
      </c>
      <c r="H83" s="2">
        <f t="shared" si="3"/>
        <v>2206.6999999999998</v>
      </c>
      <c r="I83" s="3">
        <v>250</v>
      </c>
      <c r="J83" s="57">
        <f t="shared" si="4"/>
        <v>551675</v>
      </c>
    </row>
    <row r="84" spans="1:12" x14ac:dyDescent="0.35">
      <c r="A84" s="35" t="s">
        <v>24</v>
      </c>
      <c r="F84" s="17">
        <v>2027.1</v>
      </c>
      <c r="H84" s="2">
        <f t="shared" si="3"/>
        <v>2027.1</v>
      </c>
      <c r="I84" s="3">
        <v>250</v>
      </c>
      <c r="J84" s="57">
        <f t="shared" si="4"/>
        <v>506775</v>
      </c>
    </row>
    <row r="85" spans="1:12" x14ac:dyDescent="0.35">
      <c r="A85" s="35" t="s">
        <v>133</v>
      </c>
      <c r="B85" s="36">
        <v>4310</v>
      </c>
      <c r="F85" s="17">
        <v>1060</v>
      </c>
      <c r="G85" s="1">
        <v>1335.4</v>
      </c>
      <c r="H85" s="2">
        <f t="shared" si="3"/>
        <v>6705.4</v>
      </c>
      <c r="I85" s="3">
        <v>250</v>
      </c>
      <c r="J85" s="57">
        <f t="shared" si="4"/>
        <v>1676350</v>
      </c>
    </row>
    <row r="86" spans="1:12" x14ac:dyDescent="0.35">
      <c r="A86" s="35" t="s">
        <v>134</v>
      </c>
      <c r="B86" s="36">
        <v>6967.2</v>
      </c>
      <c r="H86" s="2">
        <f t="shared" si="3"/>
        <v>6967.2</v>
      </c>
      <c r="I86" s="3">
        <v>250</v>
      </c>
      <c r="J86" s="57">
        <f t="shared" si="4"/>
        <v>1741800</v>
      </c>
    </row>
    <row r="87" spans="1:12" x14ac:dyDescent="0.35">
      <c r="A87" s="35" t="s">
        <v>135</v>
      </c>
      <c r="B87" s="36">
        <v>5000</v>
      </c>
      <c r="F87" s="17">
        <v>2142.8000000000002</v>
      </c>
      <c r="H87" s="2">
        <f t="shared" si="3"/>
        <v>7142.8</v>
      </c>
      <c r="I87" s="3">
        <v>275</v>
      </c>
      <c r="J87" s="57">
        <f t="shared" si="4"/>
        <v>1964270</v>
      </c>
    </row>
    <row r="88" spans="1:12" x14ac:dyDescent="0.35">
      <c r="A88" s="35" t="s">
        <v>136</v>
      </c>
      <c r="B88" s="18">
        <v>3700</v>
      </c>
      <c r="C88" s="18"/>
      <c r="D88" s="24"/>
      <c r="F88" s="17">
        <v>3115.85</v>
      </c>
      <c r="H88" s="2">
        <f t="shared" si="3"/>
        <v>6815.85</v>
      </c>
      <c r="I88" s="3">
        <v>275</v>
      </c>
      <c r="J88" s="57">
        <f t="shared" si="4"/>
        <v>1874358.75</v>
      </c>
    </row>
    <row r="89" spans="1:12" x14ac:dyDescent="0.35">
      <c r="A89" s="35" t="s">
        <v>141</v>
      </c>
      <c r="B89" s="18"/>
      <c r="C89" s="18"/>
      <c r="D89" s="24"/>
      <c r="F89" s="17">
        <v>1675.1</v>
      </c>
      <c r="H89" s="2">
        <f t="shared" si="3"/>
        <v>1675.1</v>
      </c>
      <c r="I89" s="3">
        <v>265</v>
      </c>
      <c r="J89" s="57">
        <f t="shared" si="4"/>
        <v>443901.5</v>
      </c>
    </row>
    <row r="90" spans="1:12" x14ac:dyDescent="0.35">
      <c r="A90" s="35" t="s">
        <v>137</v>
      </c>
      <c r="B90" s="18">
        <v>4400</v>
      </c>
      <c r="C90" s="18">
        <v>1230</v>
      </c>
      <c r="D90" s="24"/>
      <c r="F90" s="17">
        <v>437.2</v>
      </c>
      <c r="H90" s="2">
        <f t="shared" si="3"/>
        <v>6067.2</v>
      </c>
      <c r="I90" s="3">
        <v>265</v>
      </c>
      <c r="J90" s="57">
        <f t="shared" si="4"/>
        <v>1607808</v>
      </c>
      <c r="L90" s="20"/>
    </row>
    <row r="91" spans="1:12" x14ac:dyDescent="0.35">
      <c r="A91" s="35" t="s">
        <v>138</v>
      </c>
      <c r="B91" s="36">
        <v>3788.1</v>
      </c>
      <c r="C91" s="1">
        <v>2929.3</v>
      </c>
      <c r="H91" s="2">
        <f t="shared" si="3"/>
        <v>6717.4</v>
      </c>
      <c r="I91" s="3">
        <v>265</v>
      </c>
      <c r="J91" s="57">
        <f t="shared" si="4"/>
        <v>1780111</v>
      </c>
    </row>
    <row r="92" spans="1:12" x14ac:dyDescent="0.35">
      <c r="A92" s="35" t="s">
        <v>142</v>
      </c>
      <c r="B92" s="36">
        <v>7405.75</v>
      </c>
      <c r="H92" s="2">
        <f t="shared" si="3"/>
        <v>7405.75</v>
      </c>
      <c r="I92" s="3">
        <v>600</v>
      </c>
      <c r="J92" s="57">
        <f t="shared" si="4"/>
        <v>4443450</v>
      </c>
    </row>
    <row r="93" spans="1:12" s="30" customFormat="1" x14ac:dyDescent="0.35">
      <c r="A93" s="42"/>
      <c r="B93" s="43"/>
      <c r="C93" s="44"/>
      <c r="D93" s="45"/>
      <c r="E93" s="44"/>
      <c r="F93" s="46"/>
      <c r="G93" s="44"/>
      <c r="H93" s="44"/>
      <c r="I93" s="44"/>
      <c r="J93" s="58" t="e" cm="1" vm="1">
        <f t="array" aca="1" ref="J93" ca="1">96:96</f>
        <v>#VALUE!</v>
      </c>
      <c r="K93" s="33"/>
      <c r="L93" s="47"/>
    </row>
    <row r="94" spans="1:12" s="30" customFormat="1" x14ac:dyDescent="0.35">
      <c r="A94" s="42"/>
      <c r="B94" s="43"/>
      <c r="C94" s="44"/>
      <c r="D94" s="45"/>
      <c r="E94" s="44"/>
      <c r="F94" s="46"/>
      <c r="G94" s="44"/>
      <c r="H94" s="61" t="s">
        <v>72</v>
      </c>
      <c r="I94" s="64" t="s">
        <v>148</v>
      </c>
      <c r="J94" s="60">
        <f>SUM(J75:J92)</f>
        <v>26956149.25</v>
      </c>
      <c r="K94" s="33"/>
      <c r="L94" s="47"/>
    </row>
    <row r="95" spans="1:12" s="30" customFormat="1" x14ac:dyDescent="0.35">
      <c r="A95" s="42"/>
      <c r="B95" s="43"/>
      <c r="C95" s="44"/>
      <c r="D95" s="45"/>
      <c r="E95" s="44"/>
      <c r="F95" s="46"/>
      <c r="G95" s="44"/>
      <c r="H95" s="44"/>
      <c r="I95" s="44"/>
      <c r="J95" s="58"/>
      <c r="K95" s="33"/>
      <c r="L95" s="47"/>
    </row>
    <row r="96" spans="1:12" x14ac:dyDescent="0.35">
      <c r="A96" s="35" t="s">
        <v>143</v>
      </c>
      <c r="B96" s="36">
        <f>SUM(B75:B92)</f>
        <v>60460.799999999996</v>
      </c>
      <c r="C96" s="36">
        <f>SUM(C75:C92)</f>
        <v>7587</v>
      </c>
      <c r="D96" s="36"/>
      <c r="E96" s="36"/>
      <c r="F96" s="36">
        <f>SUM(F75:F92)</f>
        <v>25809.899999999998</v>
      </c>
      <c r="G96" s="36">
        <f>SUM(G75:G92)</f>
        <v>1335.4</v>
      </c>
      <c r="H96" s="36"/>
      <c r="I96" s="36"/>
      <c r="J96" s="59"/>
    </row>
    <row r="97" spans="1:89" x14ac:dyDescent="0.35">
      <c r="A97" s="35" t="s">
        <v>144</v>
      </c>
      <c r="B97" s="36">
        <f>B55</f>
        <v>59462.30000000001</v>
      </c>
      <c r="C97" s="36">
        <f t="shared" ref="C97:J97" si="5">C55</f>
        <v>7480</v>
      </c>
      <c r="D97" s="36"/>
      <c r="E97" s="36"/>
      <c r="F97" s="36">
        <f t="shared" si="5"/>
        <v>25418.300000000003</v>
      </c>
      <c r="G97" s="36">
        <f t="shared" si="5"/>
        <v>1326.1</v>
      </c>
      <c r="H97" s="36"/>
      <c r="I97" s="36"/>
      <c r="J97" s="36">
        <f t="shared" si="5"/>
        <v>0</v>
      </c>
    </row>
    <row r="98" spans="1:89" s="30" customFormat="1" x14ac:dyDescent="0.35">
      <c r="A98" s="42"/>
      <c r="B98" s="43"/>
      <c r="C98" s="43"/>
      <c r="D98" s="43"/>
      <c r="E98" s="43"/>
      <c r="F98" s="43"/>
      <c r="G98" s="43"/>
      <c r="H98" s="43"/>
      <c r="I98" s="43"/>
      <c r="J98" s="43"/>
      <c r="K98" s="33"/>
      <c r="L98" s="47"/>
    </row>
    <row r="99" spans="1:89" s="55" customFormat="1" x14ac:dyDescent="0.35">
      <c r="A99" s="51" t="s">
        <v>146</v>
      </c>
      <c r="B99" s="52">
        <f>B97*1.015</f>
        <v>60354.234500000006</v>
      </c>
      <c r="C99" s="52">
        <f t="shared" ref="C99:J99" si="6">C97*1.015</f>
        <v>7592.1999999999989</v>
      </c>
      <c r="D99" s="52">
        <f t="shared" si="6"/>
        <v>0</v>
      </c>
      <c r="E99" s="52">
        <f t="shared" si="6"/>
        <v>0</v>
      </c>
      <c r="F99" s="52">
        <f t="shared" si="6"/>
        <v>25799.574499999999</v>
      </c>
      <c r="G99" s="52">
        <f t="shared" si="6"/>
        <v>1345.9914999999999</v>
      </c>
      <c r="H99" s="52">
        <f t="shared" si="6"/>
        <v>0</v>
      </c>
      <c r="I99" s="52">
        <f t="shared" si="6"/>
        <v>0</v>
      </c>
      <c r="J99" s="52">
        <f t="shared" si="6"/>
        <v>0</v>
      </c>
      <c r="K99" s="53"/>
      <c r="L99" s="54"/>
    </row>
    <row r="100" spans="1:89" s="55" customFormat="1" x14ac:dyDescent="0.35">
      <c r="A100" s="51" t="s">
        <v>147</v>
      </c>
      <c r="B100" s="52">
        <f>B99-B96</f>
        <v>-106.5654999999897</v>
      </c>
      <c r="C100" s="52">
        <f t="shared" ref="C100:J100" si="7">C99-C96</f>
        <v>5.1999999999989086</v>
      </c>
      <c r="D100" s="52">
        <f t="shared" si="7"/>
        <v>0</v>
      </c>
      <c r="E100" s="52">
        <f t="shared" si="7"/>
        <v>0</v>
      </c>
      <c r="F100" s="52">
        <f t="shared" si="7"/>
        <v>-10.32549999999901</v>
      </c>
      <c r="G100" s="52">
        <f t="shared" si="7"/>
        <v>10.591499999999769</v>
      </c>
      <c r="H100" s="52">
        <f t="shared" si="7"/>
        <v>0</v>
      </c>
      <c r="I100" s="52">
        <f t="shared" si="7"/>
        <v>0</v>
      </c>
      <c r="J100" s="52">
        <f t="shared" si="7"/>
        <v>0</v>
      </c>
      <c r="K100" s="53"/>
      <c r="L100" s="54"/>
    </row>
    <row r="101" spans="1:89" s="30" customFormat="1" x14ac:dyDescent="0.35">
      <c r="A101" s="42"/>
      <c r="B101" s="43"/>
      <c r="C101" s="43"/>
      <c r="D101" s="43"/>
      <c r="E101" s="43"/>
      <c r="F101" s="43"/>
      <c r="G101" s="43"/>
      <c r="H101" s="43"/>
      <c r="I101" s="43"/>
      <c r="J101" s="56"/>
      <c r="K101" s="33"/>
      <c r="L101" s="47"/>
    </row>
    <row r="102" spans="1:89" x14ac:dyDescent="0.35">
      <c r="A102" s="35" t="s">
        <v>149</v>
      </c>
      <c r="B102" s="36">
        <f>B56</f>
        <v>93686.7</v>
      </c>
    </row>
    <row r="103" spans="1:89" s="30" customFormat="1" x14ac:dyDescent="0.35">
      <c r="A103" s="42"/>
      <c r="B103" s="43"/>
      <c r="C103" s="44"/>
      <c r="D103" s="45"/>
      <c r="E103" s="44"/>
      <c r="F103" s="46"/>
      <c r="G103" s="44"/>
      <c r="H103" s="44"/>
      <c r="I103" s="44"/>
      <c r="K103" s="33"/>
      <c r="L103" s="47"/>
    </row>
    <row r="104" spans="1:89" x14ac:dyDescent="0.35">
      <c r="A104" s="35" t="s">
        <v>150</v>
      </c>
      <c r="B104" s="63">
        <f>J94</f>
        <v>26956149.25</v>
      </c>
    </row>
    <row r="105" spans="1:89" x14ac:dyDescent="0.35">
      <c r="A105" s="35" t="s">
        <v>151</v>
      </c>
      <c r="B105" s="63">
        <f>J72</f>
        <v>4981832</v>
      </c>
    </row>
    <row r="107" spans="1:89" x14ac:dyDescent="0.35">
      <c r="A107" s="35" t="s">
        <v>152</v>
      </c>
      <c r="B107" s="36">
        <f>B105/B102</f>
        <v>53.175445394063409</v>
      </c>
      <c r="C107" s="1" t="s">
        <v>154</v>
      </c>
      <c r="D107" s="22">
        <v>53.174999999999997</v>
      </c>
    </row>
    <row r="108" spans="1:89" x14ac:dyDescent="0.35">
      <c r="A108" s="35" t="s">
        <v>153</v>
      </c>
      <c r="B108" s="36">
        <f>B104/B102</f>
        <v>287.72653162081707</v>
      </c>
      <c r="C108" s="1" t="s">
        <v>154</v>
      </c>
      <c r="D108" s="22">
        <v>283.17</v>
      </c>
    </row>
    <row r="109" spans="1:89" x14ac:dyDescent="0.35">
      <c r="A109" s="35" t="s">
        <v>155</v>
      </c>
      <c r="D109" s="23">
        <f>SUM(D107:D108)</f>
        <v>336.34500000000003</v>
      </c>
    </row>
    <row r="111" spans="1:89" x14ac:dyDescent="0.35">
      <c r="A111" s="35" t="s">
        <v>117</v>
      </c>
      <c r="B111" s="40">
        <f>SUM(B2:B52)</f>
        <v>55389.000000000007</v>
      </c>
      <c r="C111" s="40">
        <f t="shared" ref="C111:J111" si="8">SUM(C2:C52)</f>
        <v>7480</v>
      </c>
      <c r="D111" s="40">
        <f t="shared" si="8"/>
        <v>3106.5</v>
      </c>
      <c r="E111" s="40">
        <f t="shared" si="8"/>
        <v>966.8</v>
      </c>
      <c r="F111" s="40">
        <f t="shared" si="8"/>
        <v>13234.000000000002</v>
      </c>
      <c r="G111" s="40">
        <f t="shared" si="8"/>
        <v>1326.1</v>
      </c>
      <c r="H111" s="40">
        <f t="shared" si="8"/>
        <v>5106.8999999999996</v>
      </c>
      <c r="I111" s="40">
        <f t="shared" si="8"/>
        <v>3745.4</v>
      </c>
      <c r="J111" s="40">
        <f t="shared" si="8"/>
        <v>3332</v>
      </c>
    </row>
    <row r="112" spans="1:89" s="65" customFormat="1" x14ac:dyDescent="0.35">
      <c r="A112" s="35"/>
      <c r="B112" s="66">
        <f>B111*D107</f>
        <v>2945310.0750000002</v>
      </c>
      <c r="C112" s="66">
        <f>C111*D107</f>
        <v>397749</v>
      </c>
      <c r="D112" s="66">
        <f>D111*D107</f>
        <v>165188.13749999998</v>
      </c>
      <c r="E112" s="66">
        <f>E111*D107</f>
        <v>51409.59</v>
      </c>
      <c r="F112" s="66">
        <f>F111*D107</f>
        <v>703717.95000000007</v>
      </c>
      <c r="G112" s="66">
        <f>G111*D107</f>
        <v>70515.367499999993</v>
      </c>
      <c r="H112" s="66">
        <f>H111*D107</f>
        <v>271559.40749999997</v>
      </c>
      <c r="I112" s="66">
        <f>I111*D107</f>
        <v>199161.64499999999</v>
      </c>
      <c r="J112" s="66">
        <f>J111*D107</f>
        <v>177179.09999999998</v>
      </c>
      <c r="K112" s="33"/>
      <c r="L112" s="21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B501-ACB1-4151-9A61-C5FE9DDEB81A}">
  <dimension ref="A1:CE165"/>
  <sheetViews>
    <sheetView topLeftCell="A114" zoomScale="130" zoomScaleNormal="130" workbookViewId="0">
      <selection activeCell="F103" sqref="F103"/>
    </sheetView>
  </sheetViews>
  <sheetFormatPr defaultRowHeight="14.5" x14ac:dyDescent="0.35"/>
  <cols>
    <col min="1" max="1" width="13.81640625" style="97" bestFit="1" customWidth="1"/>
    <col min="2" max="2" width="12.1796875" style="81" bestFit="1" customWidth="1"/>
    <col min="3" max="3" width="9" style="81" bestFit="1" customWidth="1"/>
    <col min="4" max="4" width="9.90625" style="78" bestFit="1" customWidth="1"/>
    <col min="5" max="5" width="9" style="82" bestFit="1" customWidth="1"/>
    <col min="6" max="6" width="10.1796875" style="82" bestFit="1" customWidth="1"/>
    <col min="7" max="7" width="8.08984375" style="83" bestFit="1" customWidth="1"/>
    <col min="8" max="8" width="6.81640625" style="84" bestFit="1" customWidth="1"/>
    <col min="9" max="9" width="9.90625" style="79" bestFit="1" customWidth="1"/>
    <col min="10" max="10" width="8.08984375" style="102" bestFit="1" customWidth="1"/>
    <col min="11" max="11" width="10.1796875" style="80" bestFit="1" customWidth="1"/>
    <col min="12" max="12" width="13.90625" style="111" bestFit="1" customWidth="1"/>
  </cols>
  <sheetData>
    <row r="1" spans="1:11" x14ac:dyDescent="0.35">
      <c r="A1" s="119" t="s">
        <v>8</v>
      </c>
      <c r="B1" s="118" t="s">
        <v>0</v>
      </c>
      <c r="C1" s="118" t="s">
        <v>156</v>
      </c>
      <c r="D1" s="118" t="s">
        <v>1</v>
      </c>
      <c r="E1" s="118" t="s">
        <v>2</v>
      </c>
      <c r="F1" s="118" t="s">
        <v>157</v>
      </c>
      <c r="G1" s="118" t="s">
        <v>3</v>
      </c>
      <c r="H1" s="118" t="s">
        <v>4</v>
      </c>
      <c r="I1" s="120" t="s">
        <v>116</v>
      </c>
      <c r="J1" s="121" t="s">
        <v>8</v>
      </c>
      <c r="K1"/>
    </row>
    <row r="2" spans="1:11" x14ac:dyDescent="0.35">
      <c r="A2" s="97" t="s">
        <v>223</v>
      </c>
      <c r="D2" s="78">
        <v>1635</v>
      </c>
      <c r="G2" s="83">
        <v>420</v>
      </c>
      <c r="I2" s="79">
        <f t="shared" ref="I2:I33" si="0">SUM(B2:H2)</f>
        <v>2055</v>
      </c>
      <c r="J2" s="102" t="s">
        <v>224</v>
      </c>
      <c r="K2"/>
    </row>
    <row r="3" spans="1:11" x14ac:dyDescent="0.35">
      <c r="A3" s="97" t="s">
        <v>224</v>
      </c>
      <c r="B3" s="81">
        <v>1886</v>
      </c>
      <c r="I3" s="79">
        <f t="shared" si="0"/>
        <v>1886</v>
      </c>
      <c r="J3" s="102" t="s">
        <v>225</v>
      </c>
      <c r="K3" s="111">
        <f>SUM(B1:B3)</f>
        <v>1886</v>
      </c>
    </row>
    <row r="4" spans="1:11" x14ac:dyDescent="0.35">
      <c r="A4" s="97" t="s">
        <v>225</v>
      </c>
      <c r="B4" s="81">
        <v>637</v>
      </c>
      <c r="E4" s="82">
        <v>1310</v>
      </c>
      <c r="I4" s="79">
        <f t="shared" si="0"/>
        <v>1947</v>
      </c>
      <c r="J4" s="102" t="s">
        <v>227</v>
      </c>
      <c r="K4" s="111">
        <f>SUM(B1:B4)</f>
        <v>2523</v>
      </c>
    </row>
    <row r="5" spans="1:11" x14ac:dyDescent="0.35">
      <c r="A5" s="97" t="s">
        <v>227</v>
      </c>
      <c r="B5" s="81">
        <v>1615</v>
      </c>
      <c r="I5" s="79">
        <f t="shared" si="0"/>
        <v>1615</v>
      </c>
      <c r="J5" s="102" t="s">
        <v>226</v>
      </c>
      <c r="K5" s="111">
        <f>SUM(B1:B5)</f>
        <v>4138</v>
      </c>
    </row>
    <row r="6" spans="1:11" x14ac:dyDescent="0.35">
      <c r="A6" s="97" t="s">
        <v>226</v>
      </c>
      <c r="B6" s="81">
        <v>1672</v>
      </c>
      <c r="I6" s="79">
        <f t="shared" si="0"/>
        <v>1672</v>
      </c>
      <c r="J6" s="102" t="s">
        <v>226</v>
      </c>
      <c r="K6" s="111">
        <f>SUM(B1:B6)</f>
        <v>5810</v>
      </c>
    </row>
    <row r="7" spans="1:11" x14ac:dyDescent="0.35">
      <c r="A7" s="97" t="s">
        <v>226</v>
      </c>
      <c r="B7" s="81">
        <v>968</v>
      </c>
      <c r="E7" s="82">
        <v>675</v>
      </c>
      <c r="I7" s="79">
        <f t="shared" si="0"/>
        <v>1643</v>
      </c>
      <c r="J7" s="102" t="s">
        <v>228</v>
      </c>
      <c r="K7" s="111">
        <f>SUM(B1:B7)</f>
        <v>6778</v>
      </c>
    </row>
    <row r="8" spans="1:11" x14ac:dyDescent="0.35">
      <c r="A8" s="97" t="s">
        <v>228</v>
      </c>
      <c r="B8" s="81">
        <v>1616</v>
      </c>
      <c r="I8" s="79">
        <f t="shared" si="0"/>
        <v>1616</v>
      </c>
      <c r="J8" s="102" t="s">
        <v>229</v>
      </c>
      <c r="K8" s="111">
        <f t="shared" ref="K8" si="1">SUM(B4:B8)</f>
        <v>6508</v>
      </c>
    </row>
    <row r="9" spans="1:11" x14ac:dyDescent="0.35">
      <c r="A9" s="97" t="s">
        <v>229</v>
      </c>
      <c r="B9" s="81">
        <v>1977</v>
      </c>
      <c r="I9" s="79">
        <f t="shared" si="0"/>
        <v>1977</v>
      </c>
      <c r="J9" s="102" t="s">
        <v>230</v>
      </c>
      <c r="K9" s="111">
        <f t="shared" ref="K9:K17" si="2">SUM(B7:B9)</f>
        <v>4561</v>
      </c>
    </row>
    <row r="10" spans="1:11" x14ac:dyDescent="0.35">
      <c r="A10" s="97" t="s">
        <v>230</v>
      </c>
      <c r="B10" s="81">
        <v>1590</v>
      </c>
      <c r="D10" s="78">
        <v>54</v>
      </c>
      <c r="E10" s="82">
        <v>426</v>
      </c>
      <c r="I10" s="79">
        <f t="shared" si="0"/>
        <v>2070</v>
      </c>
      <c r="J10" s="102" t="s">
        <v>231</v>
      </c>
      <c r="K10" s="111">
        <f t="shared" si="2"/>
        <v>5183</v>
      </c>
    </row>
    <row r="11" spans="1:11" x14ac:dyDescent="0.35">
      <c r="A11" s="97" t="s">
        <v>231</v>
      </c>
      <c r="D11" s="78">
        <v>1831</v>
      </c>
      <c r="I11" s="79">
        <f t="shared" si="0"/>
        <v>1831</v>
      </c>
      <c r="J11" s="102" t="s">
        <v>232</v>
      </c>
      <c r="K11" s="111">
        <f t="shared" si="2"/>
        <v>3567</v>
      </c>
    </row>
    <row r="12" spans="1:11" x14ac:dyDescent="0.35">
      <c r="A12" s="97" t="s">
        <v>232</v>
      </c>
      <c r="B12" s="81">
        <v>1015</v>
      </c>
      <c r="E12" s="82">
        <v>640</v>
      </c>
      <c r="I12" s="79">
        <f t="shared" si="0"/>
        <v>1655</v>
      </c>
      <c r="J12" s="102" t="s">
        <v>232</v>
      </c>
      <c r="K12" s="111">
        <f t="shared" si="2"/>
        <v>2605</v>
      </c>
    </row>
    <row r="13" spans="1:11" x14ac:dyDescent="0.35">
      <c r="A13" s="97" t="s">
        <v>232</v>
      </c>
      <c r="B13" s="81">
        <v>1524</v>
      </c>
      <c r="I13" s="79">
        <f t="shared" si="0"/>
        <v>1524</v>
      </c>
      <c r="J13" s="102" t="s">
        <v>233</v>
      </c>
      <c r="K13" s="111">
        <f t="shared" si="2"/>
        <v>2539</v>
      </c>
    </row>
    <row r="14" spans="1:11" x14ac:dyDescent="0.35">
      <c r="A14" s="97" t="s">
        <v>233</v>
      </c>
      <c r="C14" s="81">
        <v>1670</v>
      </c>
      <c r="I14" s="79">
        <f t="shared" si="0"/>
        <v>1670</v>
      </c>
      <c r="J14" s="102" t="s">
        <v>234</v>
      </c>
      <c r="K14" s="111">
        <f t="shared" si="2"/>
        <v>2539</v>
      </c>
    </row>
    <row r="15" spans="1:11" x14ac:dyDescent="0.35">
      <c r="A15" s="97" t="s">
        <v>234</v>
      </c>
      <c r="B15" s="81">
        <v>1618</v>
      </c>
      <c r="I15" s="79">
        <f>SUM(B15:H15)</f>
        <v>1618</v>
      </c>
      <c r="J15" s="102" t="s">
        <v>235</v>
      </c>
      <c r="K15" s="111">
        <f t="shared" si="2"/>
        <v>3142</v>
      </c>
    </row>
    <row r="16" spans="1:11" x14ac:dyDescent="0.35">
      <c r="A16" s="97" t="s">
        <v>235</v>
      </c>
      <c r="B16" s="81">
        <v>1659</v>
      </c>
      <c r="I16" s="79">
        <f t="shared" si="0"/>
        <v>1659</v>
      </c>
      <c r="J16" s="102" t="s">
        <v>236</v>
      </c>
      <c r="K16" s="111">
        <f t="shared" si="2"/>
        <v>3277</v>
      </c>
    </row>
    <row r="17" spans="1:11" x14ac:dyDescent="0.35">
      <c r="A17" s="97" t="s">
        <v>236</v>
      </c>
      <c r="B17" s="81">
        <v>1748</v>
      </c>
      <c r="I17" s="79">
        <f t="shared" si="0"/>
        <v>1748</v>
      </c>
      <c r="J17" s="102" t="s">
        <v>237</v>
      </c>
      <c r="K17" s="111">
        <f t="shared" si="2"/>
        <v>5025</v>
      </c>
    </row>
    <row r="18" spans="1:11" x14ac:dyDescent="0.35">
      <c r="A18" s="97" t="s">
        <v>237</v>
      </c>
      <c r="B18" s="81">
        <v>1770</v>
      </c>
      <c r="I18" s="79">
        <f t="shared" si="0"/>
        <v>1770</v>
      </c>
      <c r="J18" s="102" t="s">
        <v>237</v>
      </c>
      <c r="K18" s="111">
        <f>SUM(B1:B18)</f>
        <v>21295</v>
      </c>
    </row>
    <row r="19" spans="1:11" x14ac:dyDescent="0.35">
      <c r="A19" s="97" t="s">
        <v>237</v>
      </c>
      <c r="B19" s="81">
        <v>996</v>
      </c>
      <c r="E19" s="82">
        <v>650</v>
      </c>
      <c r="I19" s="79">
        <f t="shared" si="0"/>
        <v>1646</v>
      </c>
      <c r="J19" s="102" t="s">
        <v>238</v>
      </c>
      <c r="K19"/>
    </row>
    <row r="20" spans="1:11" x14ac:dyDescent="0.35">
      <c r="A20" s="97" t="s">
        <v>238</v>
      </c>
      <c r="B20" s="81">
        <v>1781</v>
      </c>
      <c r="I20" s="79">
        <f t="shared" si="0"/>
        <v>1781</v>
      </c>
      <c r="J20" s="102" t="s">
        <v>239</v>
      </c>
      <c r="K20"/>
    </row>
    <row r="21" spans="1:11" x14ac:dyDescent="0.35">
      <c r="A21" s="97" t="s">
        <v>239</v>
      </c>
      <c r="B21" s="81">
        <v>1380</v>
      </c>
      <c r="E21" s="82">
        <v>410</v>
      </c>
      <c r="I21" s="79">
        <f t="shared" si="0"/>
        <v>1790</v>
      </c>
      <c r="J21" s="102" t="s">
        <v>239</v>
      </c>
      <c r="K21"/>
    </row>
    <row r="22" spans="1:11" x14ac:dyDescent="0.35">
      <c r="A22" s="97" t="s">
        <v>239</v>
      </c>
      <c r="B22" s="81">
        <v>1360</v>
      </c>
      <c r="E22" s="82">
        <v>401</v>
      </c>
      <c r="I22" s="79">
        <f t="shared" si="0"/>
        <v>1761</v>
      </c>
      <c r="J22" s="102">
        <v>322</v>
      </c>
      <c r="K22"/>
    </row>
    <row r="23" spans="1:11" x14ac:dyDescent="0.35">
      <c r="A23" s="97">
        <v>322</v>
      </c>
      <c r="B23" s="81">
        <v>1689</v>
      </c>
      <c r="I23" s="79">
        <f t="shared" si="0"/>
        <v>1689</v>
      </c>
      <c r="J23" s="102">
        <v>323</v>
      </c>
      <c r="K23"/>
    </row>
    <row r="24" spans="1:11" x14ac:dyDescent="0.35">
      <c r="A24" s="97">
        <v>323</v>
      </c>
      <c r="B24" s="81">
        <v>1841</v>
      </c>
      <c r="I24" s="79">
        <f t="shared" si="0"/>
        <v>1841</v>
      </c>
      <c r="J24" s="102">
        <v>323</v>
      </c>
      <c r="K24"/>
    </row>
    <row r="25" spans="1:11" x14ac:dyDescent="0.35">
      <c r="A25" s="97">
        <v>323</v>
      </c>
      <c r="E25" s="82">
        <v>1715</v>
      </c>
      <c r="I25" s="79">
        <f t="shared" si="0"/>
        <v>1715</v>
      </c>
      <c r="J25" s="102">
        <v>327</v>
      </c>
      <c r="K25"/>
    </row>
    <row r="26" spans="1:11" x14ac:dyDescent="0.35">
      <c r="A26" s="97">
        <v>327</v>
      </c>
      <c r="B26" s="81">
        <v>1867</v>
      </c>
      <c r="I26" s="79">
        <f t="shared" si="0"/>
        <v>1867</v>
      </c>
      <c r="J26" s="102">
        <v>402</v>
      </c>
      <c r="K26"/>
    </row>
    <row r="27" spans="1:11" x14ac:dyDescent="0.35">
      <c r="A27" s="97">
        <v>402</v>
      </c>
      <c r="B27" s="81">
        <v>980</v>
      </c>
      <c r="E27" s="82">
        <v>656</v>
      </c>
      <c r="I27" s="79">
        <f t="shared" si="0"/>
        <v>1636</v>
      </c>
      <c r="J27" s="102">
        <v>43</v>
      </c>
      <c r="K27"/>
    </row>
    <row r="28" spans="1:11" x14ac:dyDescent="0.35">
      <c r="A28" s="97">
        <v>43</v>
      </c>
      <c r="E28" s="82">
        <v>1637</v>
      </c>
      <c r="I28" s="79">
        <f t="shared" si="0"/>
        <v>1637</v>
      </c>
      <c r="J28" s="102">
        <v>46</v>
      </c>
      <c r="K28"/>
    </row>
    <row r="29" spans="1:11" x14ac:dyDescent="0.35">
      <c r="A29" s="97">
        <v>46</v>
      </c>
      <c r="B29" s="81">
        <v>870</v>
      </c>
      <c r="E29" s="82">
        <v>1000</v>
      </c>
      <c r="I29" s="79">
        <f t="shared" si="0"/>
        <v>1870</v>
      </c>
      <c r="J29" s="102">
        <v>47</v>
      </c>
      <c r="K29"/>
    </row>
    <row r="30" spans="1:11" x14ac:dyDescent="0.35">
      <c r="A30" s="97">
        <v>47</v>
      </c>
      <c r="B30" s="81">
        <v>1295</v>
      </c>
      <c r="E30" s="82">
        <v>650</v>
      </c>
      <c r="I30" s="79">
        <f t="shared" si="0"/>
        <v>1945</v>
      </c>
      <c r="J30" s="102">
        <v>416</v>
      </c>
      <c r="K30"/>
    </row>
    <row r="31" spans="1:11" x14ac:dyDescent="0.35">
      <c r="A31" s="97">
        <v>416</v>
      </c>
      <c r="E31" s="82">
        <f>655+687</f>
        <v>1342</v>
      </c>
      <c r="H31" s="84">
        <v>325</v>
      </c>
      <c r="I31" s="79">
        <f t="shared" si="0"/>
        <v>1667</v>
      </c>
      <c r="J31" s="102">
        <v>419</v>
      </c>
      <c r="K31"/>
    </row>
    <row r="32" spans="1:11" x14ac:dyDescent="0.35">
      <c r="A32" s="97">
        <v>419</v>
      </c>
      <c r="B32" s="81">
        <v>1764</v>
      </c>
      <c r="I32" s="79">
        <f t="shared" si="0"/>
        <v>1764</v>
      </c>
      <c r="J32" s="102">
        <v>420</v>
      </c>
      <c r="K32"/>
    </row>
    <row r="33" spans="1:11" x14ac:dyDescent="0.35">
      <c r="A33" s="97">
        <v>420</v>
      </c>
      <c r="B33" s="81">
        <v>1718</v>
      </c>
      <c r="I33" s="79">
        <f t="shared" si="0"/>
        <v>1718</v>
      </c>
      <c r="J33" s="102" t="s">
        <v>243</v>
      </c>
      <c r="K33"/>
    </row>
    <row r="34" spans="1:11" x14ac:dyDescent="0.35">
      <c r="A34" s="97" t="s">
        <v>242</v>
      </c>
      <c r="B34" s="81">
        <v>1718</v>
      </c>
      <c r="I34" s="79">
        <f t="shared" ref="I34:I53" si="3">SUM(B34:H34)</f>
        <v>1718</v>
      </c>
      <c r="J34" s="102">
        <v>431</v>
      </c>
      <c r="K34"/>
    </row>
    <row r="35" spans="1:11" x14ac:dyDescent="0.35">
      <c r="A35" s="97">
        <v>431</v>
      </c>
      <c r="D35" s="78">
        <v>1848</v>
      </c>
      <c r="I35" s="79">
        <f t="shared" si="3"/>
        <v>1848</v>
      </c>
      <c r="J35" s="102">
        <v>51</v>
      </c>
      <c r="K35"/>
    </row>
    <row r="36" spans="1:11" x14ac:dyDescent="0.35">
      <c r="A36" s="97">
        <v>51</v>
      </c>
      <c r="D36" s="78">
        <v>1675</v>
      </c>
      <c r="I36" s="79">
        <f t="shared" si="3"/>
        <v>1675</v>
      </c>
      <c r="J36" s="102">
        <v>56</v>
      </c>
      <c r="K36"/>
    </row>
    <row r="37" spans="1:11" x14ac:dyDescent="0.35">
      <c r="A37" s="97">
        <v>56</v>
      </c>
      <c r="D37" s="78">
        <v>1925</v>
      </c>
      <c r="I37" s="79">
        <f t="shared" si="3"/>
        <v>1925</v>
      </c>
      <c r="J37" s="102">
        <v>59</v>
      </c>
      <c r="K37"/>
    </row>
    <row r="38" spans="1:11" x14ac:dyDescent="0.35">
      <c r="A38" s="97">
        <v>59</v>
      </c>
      <c r="B38" s="81">
        <v>677.3</v>
      </c>
      <c r="C38" s="81">
        <v>1000</v>
      </c>
      <c r="I38" s="79">
        <f t="shared" si="3"/>
        <v>1677.3</v>
      </c>
      <c r="J38" s="102">
        <v>510</v>
      </c>
      <c r="K38"/>
    </row>
    <row r="39" spans="1:11" x14ac:dyDescent="0.35">
      <c r="A39" s="97">
        <v>510</v>
      </c>
      <c r="C39" s="81">
        <v>1567</v>
      </c>
      <c r="I39" s="79">
        <f t="shared" si="3"/>
        <v>1567</v>
      </c>
      <c r="J39" s="102">
        <v>511</v>
      </c>
      <c r="K39"/>
    </row>
    <row r="40" spans="1:11" x14ac:dyDescent="0.35">
      <c r="A40" s="97">
        <v>511</v>
      </c>
      <c r="C40" s="81">
        <v>1569</v>
      </c>
      <c r="I40" s="79">
        <f t="shared" si="3"/>
        <v>1569</v>
      </c>
      <c r="J40" s="102">
        <v>521</v>
      </c>
      <c r="K40"/>
    </row>
    <row r="41" spans="1:11" x14ac:dyDescent="0.35">
      <c r="A41" s="97">
        <v>521</v>
      </c>
      <c r="B41" s="81">
        <v>1957</v>
      </c>
      <c r="I41" s="79">
        <f t="shared" si="3"/>
        <v>1957</v>
      </c>
      <c r="J41" s="102">
        <v>521</v>
      </c>
      <c r="K41"/>
    </row>
    <row r="42" spans="1:11" x14ac:dyDescent="0.35">
      <c r="A42" s="97">
        <v>521</v>
      </c>
      <c r="B42" s="81">
        <v>1680</v>
      </c>
      <c r="I42" s="79">
        <f t="shared" si="3"/>
        <v>1680</v>
      </c>
      <c r="J42" s="102">
        <v>523</v>
      </c>
      <c r="K42"/>
    </row>
    <row r="43" spans="1:11" x14ac:dyDescent="0.35">
      <c r="A43" s="97">
        <v>523</v>
      </c>
      <c r="B43" s="81">
        <v>1920</v>
      </c>
      <c r="I43" s="79">
        <f t="shared" si="3"/>
        <v>1920</v>
      </c>
      <c r="J43" s="102">
        <v>525</v>
      </c>
      <c r="K43"/>
    </row>
    <row r="44" spans="1:11" x14ac:dyDescent="0.35">
      <c r="A44" s="97">
        <v>525</v>
      </c>
      <c r="B44" s="81">
        <v>1948</v>
      </c>
      <c r="I44" s="79">
        <f t="shared" si="3"/>
        <v>1948</v>
      </c>
      <c r="J44" s="102">
        <v>526</v>
      </c>
      <c r="K44"/>
    </row>
    <row r="45" spans="1:11" x14ac:dyDescent="0.35">
      <c r="A45" s="97">
        <v>526</v>
      </c>
      <c r="B45" s="81">
        <v>1682.2</v>
      </c>
      <c r="I45" s="79">
        <f t="shared" si="3"/>
        <v>1682.2</v>
      </c>
      <c r="J45" s="102">
        <v>528</v>
      </c>
      <c r="K45"/>
    </row>
    <row r="46" spans="1:11" x14ac:dyDescent="0.35">
      <c r="A46" s="97">
        <v>528</v>
      </c>
      <c r="B46" s="81">
        <v>538</v>
      </c>
      <c r="E46" s="82">
        <v>1000</v>
      </c>
      <c r="I46" s="79">
        <f t="shared" si="3"/>
        <v>1538</v>
      </c>
      <c r="J46" s="102" t="s">
        <v>241</v>
      </c>
      <c r="K46"/>
    </row>
    <row r="47" spans="1:11" x14ac:dyDescent="0.35">
      <c r="A47" s="97" t="s">
        <v>241</v>
      </c>
      <c r="F47" s="82">
        <v>1645</v>
      </c>
      <c r="I47" s="79">
        <f t="shared" si="3"/>
        <v>1645</v>
      </c>
      <c r="J47" s="102">
        <v>66</v>
      </c>
      <c r="K47"/>
    </row>
    <row r="48" spans="1:11" x14ac:dyDescent="0.35">
      <c r="A48" s="97">
        <v>66</v>
      </c>
      <c r="C48" s="81">
        <v>694.8</v>
      </c>
      <c r="D48" s="78">
        <v>416.2</v>
      </c>
      <c r="F48" s="82">
        <v>600</v>
      </c>
      <c r="I48" s="79">
        <f t="shared" si="3"/>
        <v>1711</v>
      </c>
      <c r="J48" s="102">
        <v>67</v>
      </c>
      <c r="K48"/>
    </row>
    <row r="49" spans="1:11" x14ac:dyDescent="0.35">
      <c r="A49" s="97">
        <v>67</v>
      </c>
      <c r="B49" s="81">
        <v>1938</v>
      </c>
      <c r="I49" s="79">
        <f t="shared" si="3"/>
        <v>1938</v>
      </c>
      <c r="J49" s="102">
        <v>68</v>
      </c>
      <c r="K49"/>
    </row>
    <row r="50" spans="1:11" x14ac:dyDescent="0.35">
      <c r="A50" s="97">
        <v>68</v>
      </c>
      <c r="B50" s="81">
        <v>1080</v>
      </c>
      <c r="E50" s="82">
        <v>1150</v>
      </c>
      <c r="I50" s="79">
        <f t="shared" si="3"/>
        <v>2230</v>
      </c>
      <c r="J50" s="102">
        <v>610</v>
      </c>
      <c r="K50"/>
    </row>
    <row r="51" spans="1:11" x14ac:dyDescent="0.35">
      <c r="A51" s="97">
        <v>610</v>
      </c>
      <c r="B51" s="81">
        <v>1772</v>
      </c>
      <c r="I51" s="79">
        <f t="shared" si="3"/>
        <v>1772</v>
      </c>
      <c r="J51" s="102">
        <v>610</v>
      </c>
      <c r="K51"/>
    </row>
    <row r="52" spans="1:11" x14ac:dyDescent="0.35">
      <c r="A52" s="97">
        <v>610</v>
      </c>
      <c r="B52" s="81">
        <v>653.79999999999995</v>
      </c>
      <c r="F52" s="82">
        <v>1000</v>
      </c>
      <c r="I52" s="79">
        <f t="shared" si="3"/>
        <v>1653.8</v>
      </c>
      <c r="J52" s="102">
        <v>611</v>
      </c>
      <c r="K52"/>
    </row>
    <row r="53" spans="1:11" x14ac:dyDescent="0.35">
      <c r="A53" s="97">
        <v>611</v>
      </c>
      <c r="B53" s="81">
        <v>1793</v>
      </c>
      <c r="I53" s="79">
        <f t="shared" si="3"/>
        <v>1793</v>
      </c>
      <c r="J53" s="102" t="s">
        <v>158</v>
      </c>
      <c r="K53"/>
    </row>
    <row r="54" spans="1:11" x14ac:dyDescent="0.35">
      <c r="A54" s="97" t="s">
        <v>158</v>
      </c>
      <c r="D54" s="78">
        <v>1619</v>
      </c>
      <c r="I54" s="79">
        <f t="shared" ref="I54" si="4">SUM(B54:H54)</f>
        <v>1619</v>
      </c>
      <c r="J54" s="102" t="s">
        <v>159</v>
      </c>
      <c r="K54"/>
    </row>
    <row r="55" spans="1:11" x14ac:dyDescent="0.35">
      <c r="A55" s="97" t="s">
        <v>159</v>
      </c>
      <c r="B55" s="81">
        <v>1955</v>
      </c>
      <c r="I55" s="79">
        <f t="shared" ref="I55:I86" si="5">SUM(B55:H55)</f>
        <v>1955</v>
      </c>
      <c r="J55" s="102" t="s">
        <v>160</v>
      </c>
      <c r="K55"/>
    </row>
    <row r="56" spans="1:11" x14ac:dyDescent="0.35">
      <c r="A56" s="97" t="s">
        <v>160</v>
      </c>
      <c r="D56" s="78">
        <v>1981</v>
      </c>
      <c r="I56" s="79">
        <f t="shared" si="5"/>
        <v>1981</v>
      </c>
      <c r="J56" s="102" t="s">
        <v>161</v>
      </c>
      <c r="K56"/>
    </row>
    <row r="57" spans="1:11" x14ac:dyDescent="0.35">
      <c r="A57" s="97" t="s">
        <v>161</v>
      </c>
      <c r="D57" s="78">
        <v>2004</v>
      </c>
      <c r="I57" s="79">
        <f t="shared" si="5"/>
        <v>2004</v>
      </c>
      <c r="J57" s="102" t="s">
        <v>162</v>
      </c>
      <c r="K57"/>
    </row>
    <row r="58" spans="1:11" x14ac:dyDescent="0.35">
      <c r="A58" s="97" t="s">
        <v>162</v>
      </c>
      <c r="B58" s="81">
        <v>1000</v>
      </c>
      <c r="D58" s="78">
        <v>738</v>
      </c>
      <c r="I58" s="79">
        <f t="shared" si="5"/>
        <v>1738</v>
      </c>
      <c r="J58" s="102" t="s">
        <v>163</v>
      </c>
      <c r="K58"/>
    </row>
    <row r="59" spans="1:11" x14ac:dyDescent="0.35">
      <c r="A59" s="97" t="s">
        <v>163</v>
      </c>
      <c r="D59" s="78">
        <v>1688</v>
      </c>
      <c r="I59" s="79">
        <f t="shared" si="5"/>
        <v>1688</v>
      </c>
      <c r="J59" s="102" t="s">
        <v>164</v>
      </c>
      <c r="K59"/>
    </row>
    <row r="60" spans="1:11" x14ac:dyDescent="0.35">
      <c r="A60" s="97" t="s">
        <v>164</v>
      </c>
      <c r="B60" s="81">
        <v>1272</v>
      </c>
      <c r="F60" s="82">
        <v>650</v>
      </c>
      <c r="I60" s="79">
        <f t="shared" si="5"/>
        <v>1922</v>
      </c>
      <c r="J60" s="102" t="s">
        <v>165</v>
      </c>
      <c r="K60"/>
    </row>
    <row r="61" spans="1:11" x14ac:dyDescent="0.35">
      <c r="A61" s="97" t="s">
        <v>165</v>
      </c>
      <c r="B61" s="81">
        <v>1583</v>
      </c>
      <c r="I61" s="79">
        <f t="shared" si="5"/>
        <v>1583</v>
      </c>
      <c r="J61" s="102" t="s">
        <v>166</v>
      </c>
      <c r="K61"/>
    </row>
    <row r="62" spans="1:11" x14ac:dyDescent="0.35">
      <c r="A62" s="97" t="s">
        <v>166</v>
      </c>
      <c r="B62" s="81">
        <v>1585</v>
      </c>
      <c r="I62" s="79">
        <f t="shared" si="5"/>
        <v>1585</v>
      </c>
      <c r="J62" s="102" t="s">
        <v>167</v>
      </c>
      <c r="K62"/>
    </row>
    <row r="63" spans="1:11" x14ac:dyDescent="0.35">
      <c r="A63" s="97" t="s">
        <v>167</v>
      </c>
      <c r="D63" s="78">
        <v>1652</v>
      </c>
      <c r="I63" s="79">
        <f t="shared" si="5"/>
        <v>1652</v>
      </c>
      <c r="J63" s="102" t="s">
        <v>168</v>
      </c>
      <c r="K63"/>
    </row>
    <row r="64" spans="1:11" x14ac:dyDescent="0.35">
      <c r="A64" s="97" t="s">
        <v>168</v>
      </c>
      <c r="B64" s="81">
        <v>738.7</v>
      </c>
      <c r="E64" s="82">
        <v>990</v>
      </c>
      <c r="I64" s="79">
        <f t="shared" si="5"/>
        <v>1728.7</v>
      </c>
      <c r="J64" s="102" t="s">
        <v>169</v>
      </c>
      <c r="K64"/>
    </row>
    <row r="65" spans="1:11" x14ac:dyDescent="0.35">
      <c r="A65" s="97" t="s">
        <v>169</v>
      </c>
      <c r="B65" s="81">
        <v>1628</v>
      </c>
      <c r="I65" s="79">
        <f t="shared" si="5"/>
        <v>1628</v>
      </c>
      <c r="J65" s="102" t="s">
        <v>169</v>
      </c>
      <c r="K65"/>
    </row>
    <row r="66" spans="1:11" x14ac:dyDescent="0.35">
      <c r="A66" s="97" t="s">
        <v>169</v>
      </c>
      <c r="D66" s="78">
        <v>1473</v>
      </c>
      <c r="I66" s="79">
        <f t="shared" si="5"/>
        <v>1473</v>
      </c>
      <c r="J66" s="102" t="s">
        <v>170</v>
      </c>
      <c r="K66"/>
    </row>
    <row r="67" spans="1:11" x14ac:dyDescent="0.35">
      <c r="A67" s="97" t="s">
        <v>170</v>
      </c>
      <c r="B67" s="81">
        <v>1611</v>
      </c>
      <c r="I67" s="79">
        <f t="shared" si="5"/>
        <v>1611</v>
      </c>
      <c r="J67" s="102" t="s">
        <v>170</v>
      </c>
      <c r="K67"/>
    </row>
    <row r="68" spans="1:11" x14ac:dyDescent="0.35">
      <c r="A68" s="97" t="s">
        <v>170</v>
      </c>
      <c r="B68" s="81">
        <v>1632</v>
      </c>
      <c r="I68" s="79">
        <f t="shared" si="5"/>
        <v>1632</v>
      </c>
      <c r="J68" s="102" t="s">
        <v>171</v>
      </c>
      <c r="K68"/>
    </row>
    <row r="69" spans="1:11" x14ac:dyDescent="0.35">
      <c r="A69" s="97" t="s">
        <v>171</v>
      </c>
      <c r="B69" s="81">
        <v>1767</v>
      </c>
      <c r="I69" s="79">
        <f t="shared" si="5"/>
        <v>1767</v>
      </c>
      <c r="J69" s="102" t="s">
        <v>171</v>
      </c>
      <c r="K69"/>
    </row>
    <row r="70" spans="1:11" x14ac:dyDescent="0.35">
      <c r="A70" s="97" t="s">
        <v>171</v>
      </c>
      <c r="B70" s="81">
        <v>618</v>
      </c>
      <c r="E70" s="82">
        <v>1050</v>
      </c>
      <c r="I70" s="79">
        <f t="shared" si="5"/>
        <v>1668</v>
      </c>
      <c r="J70" s="102" t="s">
        <v>172</v>
      </c>
      <c r="K70"/>
    </row>
    <row r="71" spans="1:11" x14ac:dyDescent="0.35">
      <c r="A71" s="97" t="s">
        <v>172</v>
      </c>
      <c r="B71" s="81">
        <v>1593</v>
      </c>
      <c r="I71" s="79">
        <f t="shared" si="5"/>
        <v>1593</v>
      </c>
      <c r="J71" s="102" t="s">
        <v>173</v>
      </c>
      <c r="K71"/>
    </row>
    <row r="72" spans="1:11" x14ac:dyDescent="0.35">
      <c r="A72" s="97" t="s">
        <v>173</v>
      </c>
      <c r="B72" s="81">
        <v>1403</v>
      </c>
      <c r="E72" s="82">
        <v>350</v>
      </c>
      <c r="I72" s="79">
        <f t="shared" si="5"/>
        <v>1753</v>
      </c>
      <c r="J72" s="102" t="s">
        <v>184</v>
      </c>
      <c r="K72"/>
    </row>
    <row r="73" spans="1:11" x14ac:dyDescent="0.35">
      <c r="A73" s="97" t="s">
        <v>184</v>
      </c>
      <c r="D73" s="78">
        <v>1822</v>
      </c>
      <c r="I73" s="79">
        <f t="shared" si="5"/>
        <v>1822</v>
      </c>
      <c r="J73" s="102" t="s">
        <v>185</v>
      </c>
      <c r="K73"/>
    </row>
    <row r="74" spans="1:11" x14ac:dyDescent="0.35">
      <c r="A74" s="97" t="s">
        <v>185</v>
      </c>
      <c r="B74" s="81">
        <v>1791</v>
      </c>
      <c r="I74" s="79">
        <f t="shared" si="5"/>
        <v>1791</v>
      </c>
      <c r="J74" s="102" t="s">
        <v>213</v>
      </c>
      <c r="K74"/>
    </row>
    <row r="75" spans="1:11" x14ac:dyDescent="0.35">
      <c r="A75" s="97" t="s">
        <v>213</v>
      </c>
      <c r="B75" s="81">
        <v>1792</v>
      </c>
      <c r="I75" s="79">
        <f t="shared" si="5"/>
        <v>1792</v>
      </c>
      <c r="J75" s="102" t="s">
        <v>240</v>
      </c>
      <c r="K75"/>
    </row>
    <row r="76" spans="1:11" x14ac:dyDescent="0.35">
      <c r="A76" s="97" t="s">
        <v>240</v>
      </c>
      <c r="B76" s="81">
        <v>1685</v>
      </c>
      <c r="I76" s="79">
        <f t="shared" si="5"/>
        <v>1685</v>
      </c>
      <c r="J76" s="102" t="s">
        <v>212</v>
      </c>
      <c r="K76"/>
    </row>
    <row r="77" spans="1:11" x14ac:dyDescent="0.35">
      <c r="A77" s="97" t="s">
        <v>212</v>
      </c>
      <c r="B77" s="81">
        <v>1783</v>
      </c>
      <c r="I77" s="79">
        <f t="shared" si="5"/>
        <v>1783</v>
      </c>
      <c r="J77" s="102" t="s">
        <v>244</v>
      </c>
      <c r="K77"/>
    </row>
    <row r="78" spans="1:11" x14ac:dyDescent="0.35">
      <c r="A78" s="97" t="s">
        <v>244</v>
      </c>
      <c r="B78" s="81">
        <v>1804</v>
      </c>
      <c r="I78" s="79">
        <f t="shared" si="5"/>
        <v>1804</v>
      </c>
      <c r="J78" s="102" t="s">
        <v>211</v>
      </c>
      <c r="K78"/>
    </row>
    <row r="79" spans="1:11" x14ac:dyDescent="0.35">
      <c r="A79" s="97" t="s">
        <v>211</v>
      </c>
      <c r="B79" s="81">
        <v>1645</v>
      </c>
      <c r="I79" s="79">
        <f t="shared" si="5"/>
        <v>1645</v>
      </c>
      <c r="J79" s="102" t="s">
        <v>210</v>
      </c>
      <c r="K79"/>
    </row>
    <row r="80" spans="1:11" x14ac:dyDescent="0.35">
      <c r="A80" s="97" t="s">
        <v>210</v>
      </c>
      <c r="B80" s="81">
        <v>1660</v>
      </c>
      <c r="I80" s="79">
        <f t="shared" si="5"/>
        <v>1660</v>
      </c>
      <c r="J80" s="102" t="s">
        <v>209</v>
      </c>
      <c r="K80"/>
    </row>
    <row r="81" spans="1:11" x14ac:dyDescent="0.35">
      <c r="A81" s="97" t="s">
        <v>209</v>
      </c>
      <c r="B81" s="81">
        <v>1008</v>
      </c>
      <c r="E81" s="82">
        <v>670</v>
      </c>
      <c r="I81" s="79">
        <f t="shared" si="5"/>
        <v>1678</v>
      </c>
      <c r="J81" s="102" t="s">
        <v>208</v>
      </c>
      <c r="K81"/>
    </row>
    <row r="82" spans="1:11" x14ac:dyDescent="0.35">
      <c r="A82" s="97" t="s">
        <v>208</v>
      </c>
      <c r="B82" s="81">
        <v>1623</v>
      </c>
      <c r="I82" s="79">
        <f t="shared" si="5"/>
        <v>1623</v>
      </c>
      <c r="J82" s="102" t="s">
        <v>207</v>
      </c>
      <c r="K82"/>
    </row>
    <row r="83" spans="1:11" x14ac:dyDescent="0.35">
      <c r="A83" s="97" t="s">
        <v>207</v>
      </c>
      <c r="B83" s="81">
        <v>1680</v>
      </c>
      <c r="I83" s="79">
        <f t="shared" si="5"/>
        <v>1680</v>
      </c>
      <c r="J83" s="102" t="s">
        <v>206</v>
      </c>
      <c r="K83"/>
    </row>
    <row r="84" spans="1:11" x14ac:dyDescent="0.35">
      <c r="A84" s="97" t="s">
        <v>206</v>
      </c>
      <c r="B84" s="81">
        <v>1706</v>
      </c>
      <c r="I84" s="79">
        <f t="shared" si="5"/>
        <v>1706</v>
      </c>
      <c r="J84" s="102" t="s">
        <v>205</v>
      </c>
      <c r="K84"/>
    </row>
    <row r="85" spans="1:11" x14ac:dyDescent="0.35">
      <c r="A85" s="97" t="s">
        <v>205</v>
      </c>
      <c r="B85" s="81">
        <v>1414</v>
      </c>
      <c r="I85" s="79">
        <f t="shared" si="5"/>
        <v>1414</v>
      </c>
      <c r="J85" s="102" t="s">
        <v>204</v>
      </c>
      <c r="K85"/>
    </row>
    <row r="86" spans="1:11" x14ac:dyDescent="0.35">
      <c r="A86" s="97" t="s">
        <v>204</v>
      </c>
      <c r="C86" s="81">
        <v>1536</v>
      </c>
      <c r="I86" s="79">
        <f t="shared" si="5"/>
        <v>1536</v>
      </c>
      <c r="J86" s="102">
        <v>1029</v>
      </c>
      <c r="K86"/>
    </row>
    <row r="87" spans="1:11" x14ac:dyDescent="0.35">
      <c r="A87" s="97">
        <v>1029</v>
      </c>
      <c r="C87" s="81">
        <v>1720</v>
      </c>
      <c r="I87" s="79">
        <f t="shared" ref="I87:I107" si="6">SUM(B87:H87)</f>
        <v>1720</v>
      </c>
      <c r="J87" s="102" t="s">
        <v>203</v>
      </c>
      <c r="K87"/>
    </row>
    <row r="88" spans="1:11" x14ac:dyDescent="0.35">
      <c r="A88" s="97" t="s">
        <v>203</v>
      </c>
      <c r="B88" s="81">
        <v>1400</v>
      </c>
      <c r="C88" s="81">
        <v>324</v>
      </c>
      <c r="I88" s="79">
        <f t="shared" si="6"/>
        <v>1724</v>
      </c>
      <c r="J88" s="102" t="s">
        <v>202</v>
      </c>
      <c r="K88"/>
    </row>
    <row r="89" spans="1:11" x14ac:dyDescent="0.35">
      <c r="A89" s="97" t="s">
        <v>202</v>
      </c>
      <c r="B89" s="81">
        <v>1602</v>
      </c>
      <c r="I89" s="79">
        <f t="shared" si="6"/>
        <v>1602</v>
      </c>
      <c r="J89" s="102" t="s">
        <v>201</v>
      </c>
      <c r="K89"/>
    </row>
    <row r="90" spans="1:11" x14ac:dyDescent="0.35">
      <c r="A90" s="97" t="s">
        <v>201</v>
      </c>
      <c r="B90" s="81">
        <v>761</v>
      </c>
      <c r="E90" s="82">
        <v>1000</v>
      </c>
      <c r="I90" s="79">
        <f t="shared" si="6"/>
        <v>1761</v>
      </c>
      <c r="J90" s="102" t="s">
        <v>200</v>
      </c>
      <c r="K90"/>
    </row>
    <row r="91" spans="1:11" x14ac:dyDescent="0.35">
      <c r="A91" s="97" t="s">
        <v>200</v>
      </c>
      <c r="D91" s="78">
        <v>1850</v>
      </c>
      <c r="I91" s="79">
        <f t="shared" si="6"/>
        <v>1850</v>
      </c>
      <c r="J91" s="102" t="s">
        <v>199</v>
      </c>
      <c r="K91"/>
    </row>
    <row r="92" spans="1:11" x14ac:dyDescent="0.35">
      <c r="A92" s="97" t="s">
        <v>199</v>
      </c>
      <c r="D92" s="78">
        <v>1626</v>
      </c>
      <c r="I92" s="79">
        <f t="shared" si="6"/>
        <v>1626</v>
      </c>
      <c r="J92" s="102" t="s">
        <v>198</v>
      </c>
      <c r="K92"/>
    </row>
    <row r="93" spans="1:11" x14ac:dyDescent="0.35">
      <c r="A93" s="97" t="s">
        <v>198</v>
      </c>
      <c r="D93" s="78">
        <v>1828</v>
      </c>
      <c r="I93" s="79">
        <f t="shared" si="6"/>
        <v>1828</v>
      </c>
      <c r="J93" s="102" t="s">
        <v>197</v>
      </c>
      <c r="K93"/>
    </row>
    <row r="94" spans="1:11" x14ac:dyDescent="0.35">
      <c r="A94" s="97" t="s">
        <v>197</v>
      </c>
      <c r="B94" s="81">
        <v>1848</v>
      </c>
      <c r="I94" s="79">
        <f t="shared" si="6"/>
        <v>1848</v>
      </c>
      <c r="J94" s="102" t="s">
        <v>196</v>
      </c>
      <c r="K94"/>
    </row>
    <row r="95" spans="1:11" x14ac:dyDescent="0.35">
      <c r="A95" s="97" t="s">
        <v>196</v>
      </c>
      <c r="B95" s="81">
        <v>1833</v>
      </c>
      <c r="I95" s="79">
        <f t="shared" si="6"/>
        <v>1833</v>
      </c>
      <c r="J95" s="102" t="s">
        <v>195</v>
      </c>
      <c r="K95"/>
    </row>
    <row r="96" spans="1:11" x14ac:dyDescent="0.35">
      <c r="A96" s="97" t="s">
        <v>195</v>
      </c>
      <c r="B96" s="81">
        <v>1630</v>
      </c>
      <c r="I96" s="79">
        <f t="shared" si="6"/>
        <v>1630</v>
      </c>
      <c r="J96" s="102" t="s">
        <v>194</v>
      </c>
      <c r="K96"/>
    </row>
    <row r="97" spans="1:83" x14ac:dyDescent="0.35">
      <c r="A97" s="97" t="s">
        <v>194</v>
      </c>
      <c r="B97" s="81">
        <v>1180</v>
      </c>
      <c r="I97" s="79">
        <f t="shared" si="6"/>
        <v>1180</v>
      </c>
      <c r="J97" s="102" t="s">
        <v>193</v>
      </c>
      <c r="K97"/>
    </row>
    <row r="98" spans="1:83" x14ac:dyDescent="0.35">
      <c r="A98" s="97" t="s">
        <v>193</v>
      </c>
      <c r="B98" s="81">
        <v>1731</v>
      </c>
      <c r="I98" s="79">
        <f t="shared" si="6"/>
        <v>1731</v>
      </c>
      <c r="J98" s="102" t="s">
        <v>192</v>
      </c>
      <c r="K98"/>
    </row>
    <row r="99" spans="1:83" x14ac:dyDescent="0.35">
      <c r="A99" s="97" t="s">
        <v>192</v>
      </c>
      <c r="B99" s="81">
        <v>1753</v>
      </c>
      <c r="I99" s="79">
        <f t="shared" si="6"/>
        <v>1753</v>
      </c>
      <c r="J99" s="102" t="s">
        <v>191</v>
      </c>
      <c r="K99"/>
    </row>
    <row r="100" spans="1:83" x14ac:dyDescent="0.35">
      <c r="A100" s="97" t="s">
        <v>191</v>
      </c>
      <c r="B100" s="81">
        <v>1755</v>
      </c>
      <c r="I100" s="79">
        <f t="shared" si="6"/>
        <v>1755</v>
      </c>
      <c r="J100" s="102" t="s">
        <v>190</v>
      </c>
      <c r="K100"/>
    </row>
    <row r="101" spans="1:83" x14ac:dyDescent="0.35">
      <c r="A101" s="97" t="s">
        <v>190</v>
      </c>
      <c r="B101" s="81">
        <v>1828</v>
      </c>
      <c r="I101" s="79">
        <f t="shared" si="6"/>
        <v>1828</v>
      </c>
      <c r="J101" s="102" t="s">
        <v>189</v>
      </c>
      <c r="K101"/>
    </row>
    <row r="102" spans="1:83" x14ac:dyDescent="0.35">
      <c r="A102" s="97" t="s">
        <v>189</v>
      </c>
      <c r="B102" s="81">
        <v>1690</v>
      </c>
      <c r="I102" s="79">
        <f t="shared" si="6"/>
        <v>1690</v>
      </c>
      <c r="J102" s="102" t="s">
        <v>188</v>
      </c>
      <c r="K102"/>
    </row>
    <row r="103" spans="1:83" x14ac:dyDescent="0.35">
      <c r="A103" s="97" t="s">
        <v>188</v>
      </c>
      <c r="B103" s="81">
        <v>1602</v>
      </c>
      <c r="I103" s="79">
        <f t="shared" si="6"/>
        <v>1602</v>
      </c>
      <c r="J103" s="102" t="s">
        <v>187</v>
      </c>
      <c r="K103"/>
    </row>
    <row r="104" spans="1:83" x14ac:dyDescent="0.35">
      <c r="A104" s="97" t="s">
        <v>187</v>
      </c>
      <c r="E104" s="82">
        <v>720</v>
      </c>
      <c r="I104" s="79">
        <f t="shared" si="6"/>
        <v>720</v>
      </c>
      <c r="J104" s="102">
        <v>1225</v>
      </c>
      <c r="K104"/>
    </row>
    <row r="105" spans="1:83" x14ac:dyDescent="0.35">
      <c r="A105" s="97">
        <v>1225</v>
      </c>
      <c r="D105" s="78">
        <v>1254</v>
      </c>
      <c r="G105" s="83">
        <v>900</v>
      </c>
      <c r="I105" s="79">
        <f t="shared" si="6"/>
        <v>2154</v>
      </c>
      <c r="J105" s="102" t="s">
        <v>186</v>
      </c>
      <c r="K105"/>
    </row>
    <row r="106" spans="1:83" x14ac:dyDescent="0.35">
      <c r="A106" s="97" t="s">
        <v>186</v>
      </c>
      <c r="D106" s="78">
        <v>848</v>
      </c>
      <c r="G106" s="83">
        <v>1075</v>
      </c>
      <c r="I106" s="79">
        <f t="shared" si="6"/>
        <v>1923</v>
      </c>
      <c r="J106" s="102">
        <v>1227</v>
      </c>
      <c r="K106"/>
    </row>
    <row r="107" spans="1:83" x14ac:dyDescent="0.35">
      <c r="A107" s="97">
        <v>1227</v>
      </c>
      <c r="D107" s="78">
        <v>472</v>
      </c>
      <c r="G107" s="83">
        <v>1500</v>
      </c>
      <c r="I107" s="79">
        <f t="shared" si="6"/>
        <v>1972</v>
      </c>
      <c r="K107"/>
    </row>
    <row r="108" spans="1:83" s="108" customFormat="1" ht="26.5" customHeight="1" x14ac:dyDescent="0.35">
      <c r="A108" s="109" t="s">
        <v>214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/>
      <c r="L108" s="111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</row>
    <row r="109" spans="1:83" x14ac:dyDescent="0.35">
      <c r="A109" s="98" t="s">
        <v>215</v>
      </c>
      <c r="B109" s="85">
        <f t="shared" ref="B109:I109" si="7">SUM(B2:B107)</f>
        <v>116783</v>
      </c>
      <c r="C109" s="85">
        <f t="shared" si="7"/>
        <v>10080.799999999999</v>
      </c>
      <c r="D109" s="85">
        <f t="shared" si="7"/>
        <v>30239.200000000001</v>
      </c>
      <c r="E109" s="85">
        <f t="shared" si="7"/>
        <v>18442</v>
      </c>
      <c r="F109" s="85">
        <f t="shared" si="7"/>
        <v>3895</v>
      </c>
      <c r="G109" s="85">
        <f t="shared" si="7"/>
        <v>3895</v>
      </c>
      <c r="H109" s="85">
        <f t="shared" si="7"/>
        <v>325</v>
      </c>
      <c r="I109" s="86">
        <f t="shared" si="7"/>
        <v>183660</v>
      </c>
      <c r="J109" s="103"/>
      <c r="K109" s="87" t="s">
        <v>216</v>
      </c>
    </row>
    <row r="110" spans="1:83" x14ac:dyDescent="0.35">
      <c r="B110" s="88" t="s">
        <v>217</v>
      </c>
      <c r="C110" s="88" t="s">
        <v>218</v>
      </c>
      <c r="D110" s="88" t="s">
        <v>219</v>
      </c>
      <c r="E110" s="88" t="s">
        <v>220</v>
      </c>
      <c r="F110" s="88" t="s">
        <v>221</v>
      </c>
      <c r="G110" s="88" t="s">
        <v>3</v>
      </c>
      <c r="H110" s="88" t="s">
        <v>222</v>
      </c>
      <c r="I110" s="89"/>
      <c r="J110" s="104"/>
      <c r="K110"/>
    </row>
    <row r="111" spans="1:83" ht="33.5" x14ac:dyDescent="0.35">
      <c r="A111" s="99"/>
      <c r="B111" s="90"/>
      <c r="C111" s="159" t="s">
        <v>177</v>
      </c>
      <c r="D111" s="160"/>
      <c r="E111" s="160"/>
      <c r="F111" s="161"/>
      <c r="G111" s="90"/>
      <c r="H111" s="90"/>
      <c r="I111" s="91"/>
      <c r="J111" s="105"/>
      <c r="K111"/>
    </row>
    <row r="112" spans="1:83" x14ac:dyDescent="0.35">
      <c r="A112" s="97" t="s">
        <v>223</v>
      </c>
      <c r="B112" s="81">
        <v>2243.3000000000002</v>
      </c>
      <c r="E112" s="82">
        <v>1621.6</v>
      </c>
      <c r="I112" s="79">
        <f t="shared" ref="I112:I150" si="8">SUM(B112:H112)</f>
        <v>3864.9</v>
      </c>
      <c r="J112" s="102" t="str">
        <f>A112</f>
        <v>0208</v>
      </c>
      <c r="K112" s="80">
        <v>180</v>
      </c>
      <c r="L112" s="111">
        <f>I112*K112</f>
        <v>695682</v>
      </c>
    </row>
    <row r="113" spans="1:12" x14ac:dyDescent="0.35">
      <c r="A113" s="97" t="s">
        <v>246</v>
      </c>
      <c r="B113" s="81">
        <v>4200</v>
      </c>
      <c r="D113" s="78">
        <v>1460</v>
      </c>
      <c r="G113" s="83">
        <v>974.4</v>
      </c>
      <c r="I113" s="79">
        <f t="shared" si="8"/>
        <v>6634.4</v>
      </c>
      <c r="J113" s="102" t="str">
        <f t="shared" ref="J113:J148" si="9">A113</f>
        <v>0211</v>
      </c>
      <c r="K113" s="80">
        <v>190</v>
      </c>
      <c r="L113" s="111">
        <f t="shared" ref="L113:L148" si="10">I113*K113</f>
        <v>1260536</v>
      </c>
    </row>
    <row r="114" spans="1:12" x14ac:dyDescent="0.35">
      <c r="A114" s="97" t="s">
        <v>247</v>
      </c>
      <c r="B114" s="81">
        <v>2614.1999999999998</v>
      </c>
      <c r="E114" s="82">
        <v>400</v>
      </c>
      <c r="I114" s="79">
        <f t="shared" si="8"/>
        <v>3014.2</v>
      </c>
      <c r="J114" s="102" t="str">
        <f t="shared" si="9"/>
        <v>0217</v>
      </c>
      <c r="K114" s="80">
        <v>180</v>
      </c>
      <c r="L114" s="111">
        <f t="shared" si="10"/>
        <v>542556</v>
      </c>
    </row>
    <row r="115" spans="1:12" x14ac:dyDescent="0.35">
      <c r="A115" s="97" t="s">
        <v>245</v>
      </c>
      <c r="B115" s="81">
        <v>935.6</v>
      </c>
      <c r="I115" s="79">
        <f t="shared" si="8"/>
        <v>935.6</v>
      </c>
      <c r="J115" s="102" t="str">
        <f t="shared" si="9"/>
        <v>0230</v>
      </c>
      <c r="K115" s="80">
        <v>195</v>
      </c>
      <c r="L115" s="111">
        <f t="shared" si="10"/>
        <v>182442</v>
      </c>
    </row>
    <row r="116" spans="1:12" x14ac:dyDescent="0.35">
      <c r="A116" s="97" t="s">
        <v>245</v>
      </c>
      <c r="B116" s="81">
        <v>2300</v>
      </c>
      <c r="C116" s="81">
        <v>1862</v>
      </c>
      <c r="I116" s="79">
        <f t="shared" si="8"/>
        <v>4162</v>
      </c>
      <c r="J116" s="102" t="str">
        <f t="shared" si="9"/>
        <v>0230</v>
      </c>
      <c r="K116" s="80">
        <v>195</v>
      </c>
      <c r="L116" s="111">
        <f t="shared" si="10"/>
        <v>811590</v>
      </c>
    </row>
    <row r="117" spans="1:12" x14ac:dyDescent="0.35">
      <c r="A117" s="97" t="s">
        <v>248</v>
      </c>
      <c r="B117" s="81">
        <v>6378.2</v>
      </c>
      <c r="I117" s="79">
        <f t="shared" si="8"/>
        <v>6378.2</v>
      </c>
      <c r="J117" s="102" t="str">
        <f t="shared" si="9"/>
        <v>0304</v>
      </c>
      <c r="K117" s="80">
        <v>180</v>
      </c>
      <c r="L117" s="111">
        <f t="shared" si="10"/>
        <v>1148076</v>
      </c>
    </row>
    <row r="118" spans="1:12" x14ac:dyDescent="0.35">
      <c r="A118" s="97" t="s">
        <v>233</v>
      </c>
      <c r="B118" s="81">
        <v>3756.2</v>
      </c>
      <c r="G118" s="83">
        <v>2500</v>
      </c>
      <c r="I118" s="79">
        <f t="shared" si="8"/>
        <v>6256.2</v>
      </c>
      <c r="J118" s="102" t="str">
        <f t="shared" si="9"/>
        <v>0308</v>
      </c>
      <c r="K118" s="80">
        <v>190</v>
      </c>
      <c r="L118" s="111">
        <f t="shared" si="10"/>
        <v>1188678</v>
      </c>
    </row>
    <row r="119" spans="1:12" x14ac:dyDescent="0.35">
      <c r="A119" s="97" t="s">
        <v>249</v>
      </c>
      <c r="B119" s="81">
        <v>5117.1499999999996</v>
      </c>
      <c r="E119" s="82">
        <v>1046.2</v>
      </c>
      <c r="I119" s="79">
        <f t="shared" si="8"/>
        <v>6163.3499999999995</v>
      </c>
      <c r="J119" s="102" t="str">
        <f t="shared" si="9"/>
        <v>0311</v>
      </c>
      <c r="K119" s="80">
        <v>190</v>
      </c>
      <c r="L119" s="111">
        <f t="shared" si="10"/>
        <v>1171036.5</v>
      </c>
    </row>
    <row r="120" spans="1:12" x14ac:dyDescent="0.35">
      <c r="A120" s="97" t="s">
        <v>249</v>
      </c>
      <c r="B120" s="81">
        <v>5901.45</v>
      </c>
      <c r="E120" s="82">
        <v>500</v>
      </c>
      <c r="I120" s="79">
        <f t="shared" si="8"/>
        <v>6401.45</v>
      </c>
      <c r="J120" s="102" t="str">
        <f t="shared" si="9"/>
        <v>0311</v>
      </c>
      <c r="K120" s="80">
        <v>190</v>
      </c>
      <c r="L120" s="111">
        <f t="shared" si="10"/>
        <v>1216275.5</v>
      </c>
    </row>
    <row r="121" spans="1:12" x14ac:dyDescent="0.35">
      <c r="A121" s="97" t="s">
        <v>274</v>
      </c>
      <c r="E121" s="82">
        <v>6116.5</v>
      </c>
      <c r="I121" s="79">
        <f t="shared" si="8"/>
        <v>6116.5</v>
      </c>
      <c r="J121" s="102" t="str">
        <f t="shared" si="9"/>
        <v>0325</v>
      </c>
      <c r="K121" s="80">
        <v>190</v>
      </c>
      <c r="L121" s="111">
        <f t="shared" si="10"/>
        <v>1162135</v>
      </c>
    </row>
    <row r="122" spans="1:12" x14ac:dyDescent="0.35">
      <c r="A122" s="97" t="s">
        <v>250</v>
      </c>
      <c r="B122" s="81">
        <v>510.6</v>
      </c>
      <c r="G122" s="83">
        <v>420.9</v>
      </c>
      <c r="I122" s="79">
        <f t="shared" si="8"/>
        <v>931.5</v>
      </c>
      <c r="J122" s="102" t="str">
        <f t="shared" si="9"/>
        <v>0327</v>
      </c>
      <c r="K122" s="80">
        <v>190</v>
      </c>
      <c r="L122" s="111">
        <f t="shared" si="10"/>
        <v>176985</v>
      </c>
    </row>
    <row r="123" spans="1:12" x14ac:dyDescent="0.35">
      <c r="A123" s="97" t="s">
        <v>251</v>
      </c>
      <c r="B123" s="81">
        <v>7740</v>
      </c>
      <c r="C123" s="81">
        <v>671</v>
      </c>
      <c r="E123" s="82">
        <v>3000</v>
      </c>
      <c r="I123" s="79">
        <f t="shared" si="8"/>
        <v>11411</v>
      </c>
      <c r="J123" s="102" t="str">
        <f t="shared" si="9"/>
        <v>0412</v>
      </c>
      <c r="K123" s="80">
        <v>150</v>
      </c>
      <c r="L123" s="111">
        <f t="shared" si="10"/>
        <v>1711650</v>
      </c>
    </row>
    <row r="124" spans="1:12" x14ac:dyDescent="0.35">
      <c r="A124" s="97" t="s">
        <v>252</v>
      </c>
      <c r="B124" s="81">
        <v>200</v>
      </c>
      <c r="D124" s="78">
        <v>5540</v>
      </c>
      <c r="F124" s="82">
        <v>615</v>
      </c>
      <c r="I124" s="79">
        <f t="shared" si="8"/>
        <v>6355</v>
      </c>
      <c r="J124" s="102" t="str">
        <f t="shared" si="9"/>
        <v>0417</v>
      </c>
      <c r="K124" s="80">
        <v>175</v>
      </c>
      <c r="L124" s="111">
        <f t="shared" si="10"/>
        <v>1112125</v>
      </c>
    </row>
    <row r="125" spans="1:12" x14ac:dyDescent="0.35">
      <c r="A125" s="97" t="s">
        <v>272</v>
      </c>
      <c r="C125" s="81">
        <v>2051.4</v>
      </c>
      <c r="F125" s="82">
        <v>2000</v>
      </c>
      <c r="I125" s="79">
        <f t="shared" si="8"/>
        <v>4051.4</v>
      </c>
      <c r="J125" s="102" t="str">
        <f t="shared" si="9"/>
        <v>0501</v>
      </c>
      <c r="K125" s="80">
        <v>180</v>
      </c>
      <c r="L125" s="111">
        <f t="shared" si="10"/>
        <v>729252</v>
      </c>
    </row>
    <row r="126" spans="1:12" x14ac:dyDescent="0.35">
      <c r="A126" s="97" t="s">
        <v>253</v>
      </c>
      <c r="B126" s="81">
        <v>6887.15</v>
      </c>
      <c r="I126" s="79">
        <f t="shared" si="8"/>
        <v>6887.15</v>
      </c>
      <c r="J126" s="102" t="str">
        <f t="shared" si="9"/>
        <v>0516</v>
      </c>
      <c r="K126" s="80">
        <v>190</v>
      </c>
      <c r="L126" s="111">
        <f t="shared" si="10"/>
        <v>1308558.5</v>
      </c>
    </row>
    <row r="127" spans="1:12" x14ac:dyDescent="0.35">
      <c r="A127" s="97" t="s">
        <v>254</v>
      </c>
      <c r="B127" s="92">
        <v>2500</v>
      </c>
      <c r="C127" s="81">
        <v>1094</v>
      </c>
      <c r="F127" s="82">
        <v>720.4</v>
      </c>
      <c r="H127" s="93"/>
      <c r="I127" s="79">
        <f t="shared" si="8"/>
        <v>4314.3999999999996</v>
      </c>
      <c r="J127" s="102" t="str">
        <f t="shared" si="9"/>
        <v>0519</v>
      </c>
      <c r="K127" s="80">
        <v>195</v>
      </c>
      <c r="L127" s="111">
        <f t="shared" si="10"/>
        <v>841307.99999999988</v>
      </c>
    </row>
    <row r="128" spans="1:12" x14ac:dyDescent="0.35">
      <c r="A128" s="97" t="s">
        <v>255</v>
      </c>
      <c r="B128" s="81">
        <v>727.5</v>
      </c>
      <c r="I128" s="79">
        <f t="shared" si="8"/>
        <v>727.5</v>
      </c>
      <c r="J128" s="102" t="str">
        <f t="shared" si="9"/>
        <v>0520</v>
      </c>
      <c r="K128" s="80">
        <v>195</v>
      </c>
      <c r="L128" s="111">
        <f t="shared" si="10"/>
        <v>141862.5</v>
      </c>
    </row>
    <row r="129" spans="1:13" x14ac:dyDescent="0.35">
      <c r="A129" s="97" t="s">
        <v>256</v>
      </c>
      <c r="B129" s="81">
        <v>5830</v>
      </c>
      <c r="D129" s="78">
        <v>500</v>
      </c>
      <c r="I129" s="79">
        <f t="shared" si="8"/>
        <v>6330</v>
      </c>
      <c r="J129" s="102" t="str">
        <f t="shared" si="9"/>
        <v>0527</v>
      </c>
      <c r="K129" s="80">
        <v>192</v>
      </c>
      <c r="L129" s="111">
        <f t="shared" si="10"/>
        <v>1215360</v>
      </c>
    </row>
    <row r="130" spans="1:13" x14ac:dyDescent="0.35">
      <c r="A130" s="97" t="s">
        <v>273</v>
      </c>
      <c r="D130" s="78">
        <v>3544.9</v>
      </c>
      <c r="I130" s="79">
        <f t="shared" si="8"/>
        <v>3544.9</v>
      </c>
      <c r="J130" s="102" t="str">
        <f t="shared" si="9"/>
        <v>0616</v>
      </c>
      <c r="K130" s="80">
        <v>190</v>
      </c>
      <c r="L130" s="111">
        <f t="shared" si="10"/>
        <v>673531</v>
      </c>
    </row>
    <row r="131" spans="1:13" x14ac:dyDescent="0.35">
      <c r="A131" s="97" t="s">
        <v>257</v>
      </c>
      <c r="B131" s="81">
        <v>736.8</v>
      </c>
      <c r="I131" s="79">
        <f t="shared" si="8"/>
        <v>736.8</v>
      </c>
      <c r="J131" s="102" t="str">
        <f t="shared" si="9"/>
        <v>0701</v>
      </c>
      <c r="K131" s="80">
        <v>155</v>
      </c>
      <c r="L131" s="111">
        <f t="shared" si="10"/>
        <v>114204</v>
      </c>
    </row>
    <row r="132" spans="1:13" x14ac:dyDescent="0.35">
      <c r="A132" s="97" t="s">
        <v>257</v>
      </c>
      <c r="B132" s="81">
        <v>400</v>
      </c>
      <c r="D132" s="78">
        <v>4091.8</v>
      </c>
      <c r="I132" s="79">
        <f t="shared" si="8"/>
        <v>4491.8</v>
      </c>
      <c r="J132" s="102" t="str">
        <f t="shared" si="9"/>
        <v>0701</v>
      </c>
      <c r="K132" s="80">
        <v>167</v>
      </c>
      <c r="L132" s="111">
        <f t="shared" si="10"/>
        <v>750130.6</v>
      </c>
    </row>
    <row r="133" spans="1:13" x14ac:dyDescent="0.35">
      <c r="A133" s="97" t="s">
        <v>258</v>
      </c>
      <c r="B133" s="81">
        <v>4000</v>
      </c>
      <c r="D133" s="78">
        <v>2377.5</v>
      </c>
      <c r="I133" s="79">
        <f t="shared" si="8"/>
        <v>6377.5</v>
      </c>
      <c r="J133" s="102" t="str">
        <f t="shared" si="9"/>
        <v>0715</v>
      </c>
      <c r="K133" s="80">
        <v>167</v>
      </c>
      <c r="L133" s="111">
        <f t="shared" si="10"/>
        <v>1065042.5</v>
      </c>
      <c r="M133" s="116">
        <f>SUM(B112:B130)</f>
        <v>57841.35</v>
      </c>
    </row>
    <row r="134" spans="1:13" x14ac:dyDescent="0.35">
      <c r="A134" s="97" t="s">
        <v>259</v>
      </c>
      <c r="B134" s="81">
        <v>4513.7</v>
      </c>
      <c r="F134" s="82">
        <v>572</v>
      </c>
      <c r="I134" s="79">
        <f t="shared" si="8"/>
        <v>5085.7</v>
      </c>
      <c r="J134" s="102" t="str">
        <f t="shared" si="9"/>
        <v>0724</v>
      </c>
      <c r="K134" s="80">
        <v>167</v>
      </c>
      <c r="L134" s="111">
        <f t="shared" si="10"/>
        <v>849311.9</v>
      </c>
    </row>
    <row r="135" spans="1:13" x14ac:dyDescent="0.35">
      <c r="A135" s="97" t="s">
        <v>260</v>
      </c>
      <c r="B135" s="81">
        <v>3398</v>
      </c>
      <c r="D135" s="78">
        <v>1800</v>
      </c>
      <c r="E135" s="82">
        <v>1300</v>
      </c>
      <c r="I135" s="79">
        <f t="shared" si="8"/>
        <v>6498</v>
      </c>
      <c r="J135" s="102" t="str">
        <f t="shared" si="9"/>
        <v>0806</v>
      </c>
      <c r="K135" s="80">
        <v>170</v>
      </c>
      <c r="L135" s="111">
        <f t="shared" si="10"/>
        <v>1104660</v>
      </c>
    </row>
    <row r="136" spans="1:13" x14ac:dyDescent="0.35">
      <c r="A136" s="97" t="s">
        <v>271</v>
      </c>
      <c r="B136" s="81">
        <v>131.6</v>
      </c>
      <c r="I136" s="79">
        <f t="shared" si="8"/>
        <v>131.6</v>
      </c>
      <c r="J136" s="102" t="str">
        <f t="shared" si="9"/>
        <v>0820</v>
      </c>
      <c r="K136" s="80">
        <v>167</v>
      </c>
      <c r="L136" s="111">
        <f t="shared" si="10"/>
        <v>21977.200000000001</v>
      </c>
    </row>
    <row r="137" spans="1:13" x14ac:dyDescent="0.35">
      <c r="A137" s="97" t="s">
        <v>261</v>
      </c>
      <c r="B137" s="81">
        <v>1502.45</v>
      </c>
      <c r="I137" s="79">
        <f t="shared" si="8"/>
        <v>1502.45</v>
      </c>
      <c r="J137" s="102" t="str">
        <f t="shared" si="9"/>
        <v>0902</v>
      </c>
      <c r="K137" s="80">
        <v>177</v>
      </c>
      <c r="L137" s="111">
        <f t="shared" si="10"/>
        <v>265933.65000000002</v>
      </c>
    </row>
    <row r="138" spans="1:13" x14ac:dyDescent="0.35">
      <c r="A138" s="97" t="s">
        <v>262</v>
      </c>
      <c r="B138" s="81">
        <v>4992.2</v>
      </c>
      <c r="E138" s="82">
        <v>1411.85</v>
      </c>
      <c r="I138" s="79">
        <f t="shared" si="8"/>
        <v>6404.0499999999993</v>
      </c>
      <c r="J138" s="102" t="str">
        <f t="shared" si="9"/>
        <v>0910</v>
      </c>
      <c r="K138" s="80">
        <v>177</v>
      </c>
      <c r="L138" s="111">
        <f t="shared" si="10"/>
        <v>1133516.8499999999</v>
      </c>
    </row>
    <row r="139" spans="1:13" x14ac:dyDescent="0.35">
      <c r="A139" s="97" t="s">
        <v>263</v>
      </c>
      <c r="B139" s="81">
        <v>4455.8</v>
      </c>
      <c r="D139" s="78">
        <v>1818.7</v>
      </c>
      <c r="I139" s="79">
        <f t="shared" si="8"/>
        <v>6274.5</v>
      </c>
      <c r="J139" s="102" t="str">
        <f t="shared" si="9"/>
        <v>0916</v>
      </c>
      <c r="K139" s="80">
        <v>177</v>
      </c>
      <c r="L139" s="111">
        <f t="shared" si="10"/>
        <v>1110586.5</v>
      </c>
    </row>
    <row r="140" spans="1:13" x14ac:dyDescent="0.35">
      <c r="A140" s="97" t="s">
        <v>264</v>
      </c>
      <c r="B140" s="81">
        <v>5016.8500000000004</v>
      </c>
      <c r="E140" s="82">
        <v>2091.5500000000002</v>
      </c>
      <c r="I140" s="79">
        <f t="shared" si="8"/>
        <v>7108.4000000000005</v>
      </c>
      <c r="J140" s="102" t="str">
        <f t="shared" si="9"/>
        <v>1004</v>
      </c>
      <c r="K140" s="80">
        <v>192</v>
      </c>
      <c r="L140" s="111">
        <f t="shared" si="10"/>
        <v>1364812.8</v>
      </c>
    </row>
    <row r="141" spans="1:13" x14ac:dyDescent="0.35">
      <c r="A141" s="97" t="s">
        <v>265</v>
      </c>
      <c r="B141" s="81">
        <v>8115.9</v>
      </c>
      <c r="I141" s="79">
        <f t="shared" si="8"/>
        <v>8115.9</v>
      </c>
      <c r="J141" s="102" t="str">
        <f t="shared" si="9"/>
        <v>1016</v>
      </c>
      <c r="K141" s="80">
        <v>194</v>
      </c>
      <c r="L141" s="111">
        <f t="shared" si="10"/>
        <v>1574484.5999999999</v>
      </c>
    </row>
    <row r="142" spans="1:13" x14ac:dyDescent="0.35">
      <c r="A142" s="97" t="s">
        <v>266</v>
      </c>
      <c r="B142" s="81">
        <v>365</v>
      </c>
      <c r="D142" s="78">
        <v>5400</v>
      </c>
      <c r="I142" s="79">
        <f t="shared" si="8"/>
        <v>5765</v>
      </c>
      <c r="J142" s="102" t="str">
        <f t="shared" si="9"/>
        <v>1025</v>
      </c>
      <c r="K142" s="80">
        <v>190</v>
      </c>
      <c r="L142" s="111">
        <f t="shared" si="10"/>
        <v>1095350</v>
      </c>
    </row>
    <row r="143" spans="1:13" x14ac:dyDescent="0.35">
      <c r="A143" s="97" t="s">
        <v>205</v>
      </c>
      <c r="C143" s="81">
        <v>1968</v>
      </c>
      <c r="I143" s="79">
        <f t="shared" si="8"/>
        <v>1968</v>
      </c>
      <c r="J143" s="102" t="str">
        <f t="shared" si="9"/>
        <v>1026</v>
      </c>
      <c r="K143" s="80">
        <v>195</v>
      </c>
      <c r="L143" s="111">
        <f t="shared" si="10"/>
        <v>383760</v>
      </c>
    </row>
    <row r="144" spans="1:13" x14ac:dyDescent="0.35">
      <c r="A144" s="97" t="s">
        <v>268</v>
      </c>
      <c r="B144" s="81">
        <v>3488.1</v>
      </c>
      <c r="C144" s="81">
        <v>2530.3000000000002</v>
      </c>
      <c r="I144" s="79">
        <f t="shared" si="8"/>
        <v>6018.4</v>
      </c>
      <c r="J144" s="102" t="str">
        <f t="shared" si="9"/>
        <v>1028</v>
      </c>
      <c r="K144" s="80">
        <v>220</v>
      </c>
      <c r="L144" s="111">
        <f t="shared" si="10"/>
        <v>1324048</v>
      </c>
    </row>
    <row r="145" spans="1:13" x14ac:dyDescent="0.35">
      <c r="A145" s="97" t="s">
        <v>267</v>
      </c>
      <c r="B145" s="81">
        <v>2789.15</v>
      </c>
      <c r="D145" s="78">
        <v>2294</v>
      </c>
      <c r="E145" s="82">
        <v>1516.6</v>
      </c>
      <c r="I145" s="79">
        <f t="shared" si="8"/>
        <v>6599.75</v>
      </c>
      <c r="J145" s="102" t="str">
        <f t="shared" si="9"/>
        <v>1115</v>
      </c>
      <c r="K145" s="80">
        <v>213</v>
      </c>
      <c r="L145" s="111">
        <f t="shared" si="10"/>
        <v>1405746.75</v>
      </c>
    </row>
    <row r="146" spans="1:13" x14ac:dyDescent="0.35">
      <c r="A146" s="97" t="s">
        <v>269</v>
      </c>
      <c r="B146" s="81">
        <v>6075.8</v>
      </c>
      <c r="I146" s="79">
        <f t="shared" si="8"/>
        <v>6075.8</v>
      </c>
      <c r="J146" s="102" t="str">
        <f t="shared" si="9"/>
        <v>1205</v>
      </c>
      <c r="K146" s="80">
        <v>250</v>
      </c>
      <c r="L146" s="111">
        <f t="shared" si="10"/>
        <v>1518950</v>
      </c>
    </row>
    <row r="147" spans="1:13" x14ac:dyDescent="0.35">
      <c r="A147" s="97" t="s">
        <v>187</v>
      </c>
      <c r="B147" s="81">
        <v>6627</v>
      </c>
      <c r="I147" s="79">
        <f t="shared" si="8"/>
        <v>6627</v>
      </c>
      <c r="J147" s="102" t="str">
        <f t="shared" si="9"/>
        <v>1221</v>
      </c>
      <c r="K147" s="80">
        <v>250</v>
      </c>
      <c r="L147" s="111">
        <f t="shared" si="10"/>
        <v>1656750</v>
      </c>
    </row>
    <row r="148" spans="1:13" x14ac:dyDescent="0.35">
      <c r="A148" s="97" t="s">
        <v>270</v>
      </c>
      <c r="B148" s="81">
        <v>3744.7</v>
      </c>
      <c r="D148" s="78">
        <v>1450</v>
      </c>
      <c r="I148" s="79">
        <f t="shared" si="8"/>
        <v>5194.7</v>
      </c>
      <c r="J148" s="102" t="str">
        <f t="shared" si="9"/>
        <v>1224</v>
      </c>
      <c r="K148" s="80">
        <v>190</v>
      </c>
      <c r="L148" s="111">
        <f t="shared" si="10"/>
        <v>986993</v>
      </c>
    </row>
    <row r="149" spans="1:13" s="11" customFormat="1" ht="24.5" customHeight="1" x14ac:dyDescent="0.35">
      <c r="A149" s="100" t="s">
        <v>275</v>
      </c>
      <c r="B149" s="94">
        <f>SUM(B112:B148)</f>
        <v>118194.40000000001</v>
      </c>
      <c r="C149" s="94">
        <f t="shared" ref="C149:I149" si="11">SUM(C112:C148)</f>
        <v>10176.700000000001</v>
      </c>
      <c r="D149" s="94">
        <f t="shared" si="11"/>
        <v>30276.9</v>
      </c>
      <c r="E149" s="94">
        <f t="shared" si="11"/>
        <v>19004.3</v>
      </c>
      <c r="F149" s="94">
        <f t="shared" si="11"/>
        <v>3907.4</v>
      </c>
      <c r="G149" s="94">
        <f t="shared" si="11"/>
        <v>3895.3</v>
      </c>
      <c r="H149" s="94">
        <f t="shared" si="11"/>
        <v>0</v>
      </c>
      <c r="I149" s="94">
        <f t="shared" si="11"/>
        <v>185454.99999999997</v>
      </c>
      <c r="J149" s="100"/>
      <c r="K149" s="80" t="s">
        <v>116</v>
      </c>
      <c r="L149" s="112">
        <f>SUM(L112:L148)</f>
        <v>35015897.350000001</v>
      </c>
      <c r="M149"/>
    </row>
    <row r="150" spans="1:13" s="11" customFormat="1" ht="28" customHeight="1" x14ac:dyDescent="0.35">
      <c r="A150" s="101" t="s">
        <v>276</v>
      </c>
      <c r="B150" s="95">
        <f>B109</f>
        <v>116783</v>
      </c>
      <c r="C150" s="95">
        <f>C109</f>
        <v>10080.799999999999</v>
      </c>
      <c r="D150" s="95">
        <f>D109</f>
        <v>30239.200000000001</v>
      </c>
      <c r="E150" s="95">
        <f>E109+H109</f>
        <v>18767</v>
      </c>
      <c r="F150" s="95">
        <f>F109</f>
        <v>3895</v>
      </c>
      <c r="G150" s="95">
        <f>G109</f>
        <v>3895</v>
      </c>
      <c r="H150" s="95"/>
      <c r="I150" s="96">
        <f t="shared" si="8"/>
        <v>183660</v>
      </c>
      <c r="J150" s="106"/>
      <c r="K150" s="80"/>
      <c r="L150" s="112"/>
    </row>
    <row r="151" spans="1:13" ht="23.5" customHeight="1" x14ac:dyDescent="0.35">
      <c r="A151" s="97" t="s">
        <v>74</v>
      </c>
      <c r="B151" s="81">
        <f>B149-B150</f>
        <v>1411.4000000000087</v>
      </c>
      <c r="C151" s="81">
        <f t="shared" ref="C151:I151" si="12">C149-C150</f>
        <v>95.900000000001455</v>
      </c>
      <c r="D151" s="81">
        <f t="shared" si="12"/>
        <v>37.700000000000728</v>
      </c>
      <c r="E151" s="81">
        <f t="shared" si="12"/>
        <v>237.29999999999927</v>
      </c>
      <c r="F151" s="81">
        <f t="shared" si="12"/>
        <v>12.400000000000091</v>
      </c>
      <c r="G151" s="81">
        <f t="shared" si="12"/>
        <v>0.3000000000001819</v>
      </c>
      <c r="H151" s="81"/>
      <c r="I151" s="81">
        <f t="shared" si="12"/>
        <v>1794.9999999999709</v>
      </c>
      <c r="J151" s="107"/>
      <c r="K151" s="115" t="s">
        <v>277</v>
      </c>
    </row>
    <row r="153" spans="1:13" x14ac:dyDescent="0.35">
      <c r="A153" s="97" t="s">
        <v>183</v>
      </c>
      <c r="B153" s="81">
        <f>I150</f>
        <v>183660</v>
      </c>
    </row>
    <row r="154" spans="1:13" x14ac:dyDescent="0.35">
      <c r="A154" s="97" t="s">
        <v>278</v>
      </c>
      <c r="B154" s="81">
        <v>6143200</v>
      </c>
      <c r="F154" s="82">
        <v>5</v>
      </c>
    </row>
    <row r="155" spans="1:13" x14ac:dyDescent="0.35">
      <c r="A155" s="97" t="s">
        <v>279</v>
      </c>
      <c r="B155" s="81">
        <f>L149</f>
        <v>35015897.350000001</v>
      </c>
    </row>
    <row r="156" spans="1:13" x14ac:dyDescent="0.35">
      <c r="A156" s="97" t="s">
        <v>281</v>
      </c>
      <c r="B156" s="81">
        <f>B154+B155</f>
        <v>41159097.350000001</v>
      </c>
    </row>
    <row r="157" spans="1:13" x14ac:dyDescent="0.35">
      <c r="A157" s="113" t="s">
        <v>73</v>
      </c>
      <c r="B157" s="114">
        <f>B154/B153</f>
        <v>33.448764020472609</v>
      </c>
      <c r="C157" s="162" t="s">
        <v>282</v>
      </c>
      <c r="D157" s="163"/>
      <c r="E157" s="164"/>
      <c r="F157" s="162" t="s">
        <v>282</v>
      </c>
      <c r="G157" s="163"/>
      <c r="H157" s="164"/>
      <c r="I157" s="162" t="s">
        <v>282</v>
      </c>
      <c r="J157" s="163"/>
      <c r="K157" s="164"/>
    </row>
    <row r="158" spans="1:13" x14ac:dyDescent="0.35">
      <c r="A158" s="113" t="s">
        <v>150</v>
      </c>
      <c r="B158" s="114">
        <f>B155/B153</f>
        <v>190.65608924098879</v>
      </c>
      <c r="C158" s="165"/>
      <c r="D158" s="166"/>
      <c r="E158" s="167"/>
      <c r="F158" s="165"/>
      <c r="G158" s="166"/>
      <c r="H158" s="167"/>
      <c r="I158" s="165"/>
      <c r="J158" s="166"/>
      <c r="K158" s="167"/>
    </row>
    <row r="159" spans="1:13" x14ac:dyDescent="0.35">
      <c r="A159" s="113" t="s">
        <v>280</v>
      </c>
      <c r="B159" s="114">
        <f>B156/B153</f>
        <v>224.10485326146141</v>
      </c>
      <c r="C159" s="168"/>
      <c r="D159" s="169"/>
      <c r="E159" s="170"/>
      <c r="F159" s="168"/>
      <c r="G159" s="169"/>
      <c r="H159" s="170"/>
      <c r="I159" s="168"/>
      <c r="J159" s="169"/>
      <c r="K159" s="170"/>
    </row>
    <row r="160" spans="1:13" x14ac:dyDescent="0.35">
      <c r="B160" s="81">
        <v>33450</v>
      </c>
    </row>
    <row r="161" spans="2:2" x14ac:dyDescent="0.35">
      <c r="B161" s="81">
        <v>190650</v>
      </c>
    </row>
    <row r="162" spans="2:2" x14ac:dyDescent="0.35">
      <c r="B162" s="81">
        <f>190.45+33.65</f>
        <v>224.1</v>
      </c>
    </row>
    <row r="164" spans="2:2" x14ac:dyDescent="0.35">
      <c r="B164" s="81">
        <v>33450</v>
      </c>
    </row>
    <row r="165" spans="2:2" x14ac:dyDescent="0.35">
      <c r="B165" s="81">
        <v>190650</v>
      </c>
    </row>
  </sheetData>
  <mergeCells count="4">
    <mergeCell ref="C111:F111"/>
    <mergeCell ref="C157:E159"/>
    <mergeCell ref="F157:H159"/>
    <mergeCell ref="I157:K159"/>
  </mergeCell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D83C-310A-4E2C-BDD0-4A75C8135BF6}">
  <dimension ref="A1:L138"/>
  <sheetViews>
    <sheetView topLeftCell="A84" zoomScale="130" zoomScaleNormal="130" workbookViewId="0">
      <selection activeCell="E92" sqref="E92:E104"/>
    </sheetView>
  </sheetViews>
  <sheetFormatPr defaultRowHeight="14.5" x14ac:dyDescent="0.35"/>
  <cols>
    <col min="1" max="1" width="10.453125" style="97" bestFit="1" customWidth="1"/>
    <col min="2" max="2" width="12.1796875" style="81" bestFit="1" customWidth="1"/>
    <col min="3" max="3" width="13" style="81" bestFit="1" customWidth="1"/>
    <col min="4" max="4" width="12.08984375" style="78" bestFit="1" customWidth="1"/>
    <col min="5" max="5" width="10.90625" style="82" bestFit="1" customWidth="1"/>
    <col min="6" max="6" width="14.6328125" style="82" bestFit="1" customWidth="1"/>
    <col min="7" max="7" width="9.90625" style="83" bestFit="1" customWidth="1"/>
    <col min="8" max="8" width="10.453125" style="83" bestFit="1" customWidth="1"/>
    <col min="9" max="9" width="8.08984375" style="84" bestFit="1" customWidth="1"/>
    <col min="10" max="10" width="9.81640625" style="79" customWidth="1"/>
    <col min="11" max="11" width="12.1796875" style="102" bestFit="1" customWidth="1"/>
    <col min="12" max="12" width="10.1796875" style="80" bestFit="1" customWidth="1"/>
  </cols>
  <sheetData>
    <row r="1" spans="1:12" s="11" customFormat="1" ht="25" customHeight="1" x14ac:dyDescent="0.35">
      <c r="A1" s="122" t="s">
        <v>8</v>
      </c>
      <c r="B1" s="118" t="s">
        <v>0</v>
      </c>
      <c r="C1" s="118" t="s">
        <v>156</v>
      </c>
      <c r="D1" s="118" t="s">
        <v>1</v>
      </c>
      <c r="E1" s="118" t="s">
        <v>2</v>
      </c>
      <c r="F1" s="118" t="s">
        <v>157</v>
      </c>
      <c r="G1" s="118" t="s">
        <v>3</v>
      </c>
      <c r="H1" s="118" t="s">
        <v>6</v>
      </c>
      <c r="I1" s="118" t="s">
        <v>4</v>
      </c>
      <c r="J1" s="120" t="s">
        <v>116</v>
      </c>
      <c r="K1" s="121" t="s">
        <v>8</v>
      </c>
    </row>
    <row r="2" spans="1:12" x14ac:dyDescent="0.35">
      <c r="A2" s="123">
        <v>2.0299999999999998</v>
      </c>
      <c r="B2" s="81">
        <v>1977</v>
      </c>
      <c r="H2" s="124"/>
      <c r="J2" s="79">
        <f t="shared" ref="J2" si="0">SUM(B2:I2)</f>
        <v>1977</v>
      </c>
      <c r="K2" s="117">
        <f t="shared" ref="K2" si="1">A2</f>
        <v>2.0299999999999998</v>
      </c>
      <c r="L2"/>
    </row>
    <row r="3" spans="1:12" x14ac:dyDescent="0.35">
      <c r="A3" s="123">
        <v>2.06</v>
      </c>
      <c r="B3" s="81">
        <v>1175</v>
      </c>
      <c r="G3" s="83">
        <v>910</v>
      </c>
      <c r="H3" s="124"/>
      <c r="J3" s="79">
        <f t="shared" ref="J3:J69" si="2">SUM(B3:I3)</f>
        <v>2085</v>
      </c>
      <c r="K3" s="117">
        <f t="shared" ref="K3:K69" si="3">A3</f>
        <v>2.06</v>
      </c>
      <c r="L3"/>
    </row>
    <row r="4" spans="1:12" x14ac:dyDescent="0.35">
      <c r="A4" s="123">
        <v>2.0699999999999998</v>
      </c>
      <c r="D4" s="78">
        <v>632</v>
      </c>
      <c r="G4" s="83">
        <v>850</v>
      </c>
      <c r="H4" s="124"/>
      <c r="J4" s="79">
        <f t="shared" si="2"/>
        <v>1482</v>
      </c>
      <c r="K4" s="117">
        <f t="shared" si="3"/>
        <v>2.0699999999999998</v>
      </c>
      <c r="L4"/>
    </row>
    <row r="5" spans="1:12" x14ac:dyDescent="0.35">
      <c r="A5" s="123">
        <v>2.15</v>
      </c>
      <c r="D5" s="78">
        <v>1633</v>
      </c>
      <c r="H5" s="124"/>
      <c r="J5" s="79">
        <f t="shared" si="2"/>
        <v>1633</v>
      </c>
      <c r="K5" s="117">
        <f t="shared" si="3"/>
        <v>2.15</v>
      </c>
      <c r="L5"/>
    </row>
    <row r="6" spans="1:12" x14ac:dyDescent="0.35">
      <c r="A6" s="123">
        <v>2.16</v>
      </c>
      <c r="D6" s="78">
        <v>1601</v>
      </c>
      <c r="H6" s="124"/>
      <c r="J6" s="79">
        <f t="shared" si="2"/>
        <v>1601</v>
      </c>
      <c r="K6" s="117">
        <f t="shared" si="3"/>
        <v>2.16</v>
      </c>
      <c r="L6"/>
    </row>
    <row r="7" spans="1:12" x14ac:dyDescent="0.35">
      <c r="A7" s="123">
        <v>2.16</v>
      </c>
      <c r="B7" s="81">
        <v>1750</v>
      </c>
      <c r="H7" s="124"/>
      <c r="J7" s="79">
        <f t="shared" si="2"/>
        <v>1750</v>
      </c>
      <c r="K7" s="117">
        <f t="shared" si="3"/>
        <v>2.16</v>
      </c>
      <c r="L7"/>
    </row>
    <row r="8" spans="1:12" x14ac:dyDescent="0.35">
      <c r="A8" s="123">
        <v>2.1800000000000002</v>
      </c>
      <c r="B8" s="81">
        <v>1000</v>
      </c>
      <c r="D8" s="78">
        <v>620</v>
      </c>
      <c r="H8" s="124"/>
      <c r="J8" s="79">
        <f t="shared" si="2"/>
        <v>1620</v>
      </c>
      <c r="K8" s="117">
        <f t="shared" si="3"/>
        <v>2.1800000000000002</v>
      </c>
      <c r="L8"/>
    </row>
    <row r="9" spans="1:12" x14ac:dyDescent="0.35">
      <c r="A9" s="123">
        <v>2.2200000000000002</v>
      </c>
      <c r="C9" s="81">
        <v>1972</v>
      </c>
      <c r="H9" s="124"/>
      <c r="J9" s="79">
        <f t="shared" si="2"/>
        <v>1972</v>
      </c>
      <c r="K9" s="117">
        <f t="shared" si="3"/>
        <v>2.2200000000000002</v>
      </c>
      <c r="L9"/>
    </row>
    <row r="10" spans="1:12" x14ac:dyDescent="0.35">
      <c r="A10" s="123">
        <v>2.23</v>
      </c>
      <c r="B10" s="81">
        <v>1300</v>
      </c>
      <c r="C10" s="81">
        <v>315</v>
      </c>
      <c r="H10" s="124"/>
      <c r="J10" s="79">
        <f t="shared" si="2"/>
        <v>1615</v>
      </c>
      <c r="K10" s="117">
        <f t="shared" si="3"/>
        <v>2.23</v>
      </c>
      <c r="L10"/>
    </row>
    <row r="11" spans="1:12" x14ac:dyDescent="0.35">
      <c r="A11" s="123">
        <v>2.2400000000000002</v>
      </c>
      <c r="B11" s="81">
        <v>1637</v>
      </c>
      <c r="H11" s="124"/>
      <c r="J11" s="79">
        <f t="shared" si="2"/>
        <v>1637</v>
      </c>
      <c r="K11" s="117">
        <f t="shared" si="3"/>
        <v>2.2400000000000002</v>
      </c>
      <c r="L11"/>
    </row>
    <row r="12" spans="1:12" x14ac:dyDescent="0.35">
      <c r="A12" s="123">
        <v>2.27</v>
      </c>
      <c r="B12" s="81">
        <v>1721</v>
      </c>
      <c r="H12" s="124"/>
      <c r="J12" s="79">
        <f>SUM(C12:I12)</f>
        <v>0</v>
      </c>
      <c r="K12" s="117">
        <f t="shared" si="3"/>
        <v>2.27</v>
      </c>
      <c r="L12"/>
    </row>
    <row r="13" spans="1:12" x14ac:dyDescent="0.35">
      <c r="A13" s="123">
        <v>2.2799999999999998</v>
      </c>
      <c r="B13" s="81">
        <v>1738</v>
      </c>
      <c r="H13" s="124"/>
      <c r="J13" s="79">
        <f t="shared" si="2"/>
        <v>1738</v>
      </c>
      <c r="K13" s="117">
        <f t="shared" si="3"/>
        <v>2.2799999999999998</v>
      </c>
      <c r="L13"/>
    </row>
    <row r="14" spans="1:12" x14ac:dyDescent="0.35">
      <c r="A14" s="123">
        <v>2.29</v>
      </c>
      <c r="B14" s="81">
        <v>1718</v>
      </c>
      <c r="H14" s="124"/>
      <c r="J14" s="79">
        <f t="shared" si="2"/>
        <v>1718</v>
      </c>
      <c r="K14" s="117">
        <f t="shared" si="3"/>
        <v>2.29</v>
      </c>
      <c r="L14"/>
    </row>
    <row r="15" spans="1:12" x14ac:dyDescent="0.35">
      <c r="A15" s="123">
        <v>4.28</v>
      </c>
      <c r="C15" s="81">
        <v>1456.2</v>
      </c>
      <c r="H15" s="124"/>
      <c r="J15" s="79">
        <f t="shared" si="2"/>
        <v>1456.2</v>
      </c>
      <c r="K15" s="117">
        <f t="shared" si="3"/>
        <v>4.28</v>
      </c>
      <c r="L15"/>
    </row>
    <row r="16" spans="1:12" x14ac:dyDescent="0.35">
      <c r="A16" s="123">
        <v>4.29</v>
      </c>
      <c r="C16" s="81">
        <v>300</v>
      </c>
      <c r="F16" s="82">
        <v>1228</v>
      </c>
      <c r="H16" s="124"/>
      <c r="J16" s="79">
        <f t="shared" si="2"/>
        <v>1528</v>
      </c>
      <c r="K16" s="117">
        <f t="shared" si="3"/>
        <v>4.29</v>
      </c>
      <c r="L16"/>
    </row>
    <row r="17" spans="1:12" x14ac:dyDescent="0.35">
      <c r="A17" s="123">
        <v>5.12</v>
      </c>
      <c r="B17" s="81">
        <v>1570</v>
      </c>
      <c r="C17" s="81">
        <v>143.6</v>
      </c>
      <c r="H17" s="124"/>
      <c r="J17" s="79">
        <f t="shared" si="2"/>
        <v>1713.6</v>
      </c>
      <c r="K17" s="117">
        <f t="shared" si="3"/>
        <v>5.12</v>
      </c>
      <c r="L17"/>
    </row>
    <row r="18" spans="1:12" x14ac:dyDescent="0.35">
      <c r="A18" s="123">
        <v>5.15</v>
      </c>
      <c r="E18" s="82">
        <v>1796</v>
      </c>
      <c r="H18" s="124"/>
      <c r="J18" s="79">
        <f t="shared" si="2"/>
        <v>1796</v>
      </c>
      <c r="K18" s="117">
        <f t="shared" si="3"/>
        <v>5.15</v>
      </c>
      <c r="L18"/>
    </row>
    <row r="19" spans="1:12" x14ac:dyDescent="0.35">
      <c r="A19" s="123">
        <v>5.16</v>
      </c>
      <c r="B19" s="81">
        <v>1372</v>
      </c>
      <c r="E19" s="82">
        <v>340</v>
      </c>
      <c r="H19" s="124"/>
      <c r="J19" s="79">
        <f t="shared" si="2"/>
        <v>1712</v>
      </c>
      <c r="K19" s="117">
        <f t="shared" si="3"/>
        <v>5.16</v>
      </c>
      <c r="L19"/>
    </row>
    <row r="20" spans="1:12" x14ac:dyDescent="0.35">
      <c r="A20" s="123">
        <v>5.19</v>
      </c>
      <c r="B20" s="81">
        <v>657</v>
      </c>
      <c r="E20" s="82">
        <v>330</v>
      </c>
      <c r="H20" s="124"/>
      <c r="J20" s="79">
        <f t="shared" si="2"/>
        <v>987</v>
      </c>
      <c r="K20" s="117">
        <f t="shared" si="3"/>
        <v>5.19</v>
      </c>
      <c r="L20"/>
    </row>
    <row r="21" spans="1:12" x14ac:dyDescent="0.35">
      <c r="A21" s="123">
        <v>6.05</v>
      </c>
      <c r="C21" s="81">
        <v>1664</v>
      </c>
      <c r="H21" s="124"/>
      <c r="J21" s="79">
        <f t="shared" si="2"/>
        <v>1664</v>
      </c>
      <c r="K21" s="117">
        <f t="shared" si="3"/>
        <v>6.05</v>
      </c>
      <c r="L21"/>
    </row>
    <row r="22" spans="1:12" x14ac:dyDescent="0.35">
      <c r="A22" s="123">
        <v>6.09</v>
      </c>
      <c r="C22" s="81">
        <v>320</v>
      </c>
      <c r="E22" s="82">
        <v>1428</v>
      </c>
      <c r="H22" s="124"/>
      <c r="J22" s="79">
        <f t="shared" si="2"/>
        <v>1748</v>
      </c>
      <c r="K22" s="117">
        <f t="shared" si="3"/>
        <v>6.09</v>
      </c>
      <c r="L22"/>
    </row>
    <row r="23" spans="1:12" x14ac:dyDescent="0.35">
      <c r="A23" s="123">
        <v>6.11</v>
      </c>
      <c r="E23" s="82">
        <v>1742</v>
      </c>
      <c r="H23" s="124"/>
      <c r="J23" s="79">
        <f t="shared" si="2"/>
        <v>1742</v>
      </c>
      <c r="K23" s="117">
        <f t="shared" si="3"/>
        <v>6.11</v>
      </c>
      <c r="L23"/>
    </row>
    <row r="24" spans="1:12" x14ac:dyDescent="0.35">
      <c r="A24" s="123">
        <v>6.11</v>
      </c>
      <c r="B24" s="81">
        <v>1680</v>
      </c>
      <c r="H24" s="124"/>
      <c r="J24" s="79">
        <f t="shared" ref="J24" si="4">SUM(B24:I24)</f>
        <v>1680</v>
      </c>
      <c r="K24" s="117">
        <f t="shared" ref="K24" si="5">A24</f>
        <v>6.11</v>
      </c>
      <c r="L24"/>
    </row>
    <row r="25" spans="1:12" x14ac:dyDescent="0.35">
      <c r="A25" s="123">
        <v>6.16</v>
      </c>
      <c r="E25" s="82">
        <v>1584</v>
      </c>
      <c r="H25" s="124"/>
      <c r="J25" s="79">
        <f t="shared" si="2"/>
        <v>1584</v>
      </c>
      <c r="K25" s="117">
        <f t="shared" si="3"/>
        <v>6.16</v>
      </c>
      <c r="L25"/>
    </row>
    <row r="26" spans="1:12" x14ac:dyDescent="0.35">
      <c r="A26" s="123">
        <v>6.22</v>
      </c>
      <c r="B26" s="81">
        <v>1598</v>
      </c>
      <c r="H26" s="124"/>
      <c r="J26" s="79">
        <f t="shared" si="2"/>
        <v>1598</v>
      </c>
      <c r="K26" s="117">
        <f t="shared" si="3"/>
        <v>6.22</v>
      </c>
      <c r="L26"/>
    </row>
    <row r="27" spans="1:12" x14ac:dyDescent="0.35">
      <c r="A27" s="123">
        <v>6.22</v>
      </c>
      <c r="B27" s="81">
        <v>1844</v>
      </c>
      <c r="H27" s="124"/>
      <c r="J27" s="79">
        <f t="shared" si="2"/>
        <v>1844</v>
      </c>
      <c r="K27" s="117">
        <f t="shared" si="3"/>
        <v>6.22</v>
      </c>
      <c r="L27"/>
    </row>
    <row r="28" spans="1:12" x14ac:dyDescent="0.35">
      <c r="A28" s="123">
        <v>6.25</v>
      </c>
      <c r="B28" s="81">
        <v>1310</v>
      </c>
      <c r="E28" s="82">
        <v>350</v>
      </c>
      <c r="H28" s="124"/>
      <c r="J28" s="79">
        <f t="shared" si="2"/>
        <v>1660</v>
      </c>
      <c r="K28" s="117">
        <f t="shared" si="3"/>
        <v>6.25</v>
      </c>
      <c r="L28"/>
    </row>
    <row r="29" spans="1:12" x14ac:dyDescent="0.35">
      <c r="A29" s="123">
        <v>6.26</v>
      </c>
      <c r="D29" s="78">
        <v>1705</v>
      </c>
      <c r="H29" s="124"/>
      <c r="J29" s="79">
        <f t="shared" si="2"/>
        <v>1705</v>
      </c>
      <c r="K29" s="117">
        <f t="shared" si="3"/>
        <v>6.26</v>
      </c>
      <c r="L29"/>
    </row>
    <row r="30" spans="1:12" x14ac:dyDescent="0.35">
      <c r="A30" s="123">
        <v>6.27</v>
      </c>
      <c r="D30" s="78">
        <v>1714</v>
      </c>
      <c r="H30" s="124"/>
      <c r="I30" s="130" t="s">
        <v>291</v>
      </c>
      <c r="J30" s="79">
        <f t="shared" si="2"/>
        <v>1714</v>
      </c>
      <c r="K30" s="117">
        <f t="shared" si="3"/>
        <v>6.27</v>
      </c>
      <c r="L30"/>
    </row>
    <row r="31" spans="1:12" x14ac:dyDescent="0.35">
      <c r="A31" s="123">
        <v>6.29</v>
      </c>
      <c r="B31" s="81">
        <v>565</v>
      </c>
      <c r="E31" s="82">
        <v>1000</v>
      </c>
      <c r="H31" s="124"/>
      <c r="J31" s="79">
        <f t="shared" si="2"/>
        <v>1565</v>
      </c>
      <c r="K31" s="117">
        <f t="shared" si="3"/>
        <v>6.29</v>
      </c>
      <c r="L31"/>
    </row>
    <row r="32" spans="1:12" x14ac:dyDescent="0.35">
      <c r="A32" s="123">
        <v>7.01</v>
      </c>
      <c r="D32" s="78">
        <v>1652</v>
      </c>
      <c r="H32" s="124"/>
      <c r="J32" s="79">
        <f t="shared" si="2"/>
        <v>1652</v>
      </c>
      <c r="K32" s="117">
        <f t="shared" si="3"/>
        <v>7.01</v>
      </c>
      <c r="L32"/>
    </row>
    <row r="33" spans="1:12" x14ac:dyDescent="0.35">
      <c r="A33" s="123">
        <v>7.02</v>
      </c>
      <c r="B33" s="81">
        <v>1616</v>
      </c>
      <c r="H33" s="124"/>
      <c r="J33" s="79">
        <f t="shared" si="2"/>
        <v>1616</v>
      </c>
      <c r="K33" s="117">
        <f t="shared" si="3"/>
        <v>7.02</v>
      </c>
      <c r="L33"/>
    </row>
    <row r="34" spans="1:12" x14ac:dyDescent="0.35">
      <c r="A34" s="123">
        <v>7.05</v>
      </c>
      <c r="D34" s="78">
        <v>837</v>
      </c>
      <c r="F34" s="82">
        <v>500</v>
      </c>
      <c r="H34" s="124"/>
      <c r="I34" s="84">
        <v>500</v>
      </c>
      <c r="J34" s="79">
        <f t="shared" si="2"/>
        <v>1837</v>
      </c>
      <c r="K34" s="117">
        <f t="shared" si="3"/>
        <v>7.05</v>
      </c>
      <c r="L34"/>
    </row>
    <row r="35" spans="1:12" x14ac:dyDescent="0.35">
      <c r="A35" s="123">
        <v>7.13</v>
      </c>
      <c r="B35" s="81">
        <v>999</v>
      </c>
      <c r="E35" s="82">
        <v>700</v>
      </c>
      <c r="H35" s="124"/>
      <c r="J35" s="79">
        <f t="shared" si="2"/>
        <v>1699</v>
      </c>
      <c r="K35" s="117">
        <f t="shared" si="3"/>
        <v>7.13</v>
      </c>
      <c r="L35"/>
    </row>
    <row r="36" spans="1:12" x14ac:dyDescent="0.35">
      <c r="A36" s="123">
        <v>7.14</v>
      </c>
      <c r="B36" s="81">
        <v>1734</v>
      </c>
      <c r="H36" s="124"/>
      <c r="J36" s="79">
        <f t="shared" si="2"/>
        <v>1734</v>
      </c>
      <c r="K36" s="117">
        <f t="shared" si="3"/>
        <v>7.14</v>
      </c>
      <c r="L36"/>
    </row>
    <row r="37" spans="1:12" x14ac:dyDescent="0.35">
      <c r="A37" s="123">
        <v>7.15</v>
      </c>
      <c r="B37" s="81">
        <v>1600</v>
      </c>
      <c r="H37" s="124"/>
      <c r="J37" s="79">
        <f t="shared" si="2"/>
        <v>1600</v>
      </c>
      <c r="K37" s="117">
        <f t="shared" si="3"/>
        <v>7.15</v>
      </c>
      <c r="L37"/>
    </row>
    <row r="38" spans="1:12" x14ac:dyDescent="0.35">
      <c r="A38" s="123">
        <v>7.16</v>
      </c>
      <c r="B38" s="81">
        <v>2192</v>
      </c>
      <c r="H38" s="124"/>
      <c r="J38" s="79">
        <f t="shared" si="2"/>
        <v>2192</v>
      </c>
      <c r="K38" s="117">
        <f t="shared" si="3"/>
        <v>7.16</v>
      </c>
      <c r="L38"/>
    </row>
    <row r="39" spans="1:12" x14ac:dyDescent="0.35">
      <c r="A39" s="123">
        <v>7.21</v>
      </c>
      <c r="B39" s="81">
        <v>1752</v>
      </c>
      <c r="H39" s="124"/>
      <c r="J39" s="79">
        <f t="shared" si="2"/>
        <v>1752</v>
      </c>
      <c r="K39" s="117">
        <f t="shared" si="3"/>
        <v>7.21</v>
      </c>
      <c r="L39"/>
    </row>
    <row r="40" spans="1:12" x14ac:dyDescent="0.35">
      <c r="A40" s="123">
        <v>7.26</v>
      </c>
      <c r="B40" s="81">
        <v>1646</v>
      </c>
      <c r="H40" s="124"/>
      <c r="J40" s="79">
        <f t="shared" si="2"/>
        <v>1646</v>
      </c>
      <c r="K40" s="117">
        <f t="shared" si="3"/>
        <v>7.26</v>
      </c>
      <c r="L40"/>
    </row>
    <row r="41" spans="1:12" x14ac:dyDescent="0.35">
      <c r="A41" s="123">
        <v>8.0399999999999991</v>
      </c>
      <c r="B41" s="81">
        <v>1364</v>
      </c>
      <c r="H41" s="124">
        <v>325</v>
      </c>
      <c r="J41" s="79">
        <f t="shared" si="2"/>
        <v>1689</v>
      </c>
      <c r="K41" s="117">
        <f t="shared" si="3"/>
        <v>8.0399999999999991</v>
      </c>
      <c r="L41"/>
    </row>
    <row r="42" spans="1:12" x14ac:dyDescent="0.35">
      <c r="A42" s="123">
        <v>8.06</v>
      </c>
      <c r="B42" s="81">
        <v>962</v>
      </c>
      <c r="H42" s="124">
        <v>660</v>
      </c>
      <c r="J42" s="79">
        <f t="shared" si="2"/>
        <v>1622</v>
      </c>
      <c r="K42" s="117">
        <f t="shared" si="3"/>
        <v>8.06</v>
      </c>
      <c r="L42"/>
    </row>
    <row r="43" spans="1:12" x14ac:dyDescent="0.35">
      <c r="A43" s="123">
        <v>8.1199999999999992</v>
      </c>
      <c r="E43" s="81">
        <v>1342</v>
      </c>
      <c r="F43" s="82">
        <v>310</v>
      </c>
      <c r="H43" s="124"/>
      <c r="J43" s="79">
        <f>SUM(C43:I43)</f>
        <v>1652</v>
      </c>
      <c r="K43" s="117">
        <f t="shared" si="3"/>
        <v>8.1199999999999992</v>
      </c>
      <c r="L43"/>
    </row>
    <row r="44" spans="1:12" x14ac:dyDescent="0.35">
      <c r="A44" s="123">
        <v>8.25</v>
      </c>
      <c r="B44" s="81">
        <v>1691</v>
      </c>
      <c r="H44" s="124"/>
      <c r="J44" s="79">
        <f t="shared" si="2"/>
        <v>1691</v>
      </c>
      <c r="K44" s="117">
        <f t="shared" si="3"/>
        <v>8.25</v>
      </c>
      <c r="L44"/>
    </row>
    <row r="45" spans="1:12" x14ac:dyDescent="0.35">
      <c r="A45" s="123">
        <v>8.26</v>
      </c>
      <c r="B45" s="81">
        <v>1880</v>
      </c>
      <c r="H45" s="124"/>
      <c r="J45" s="79">
        <f t="shared" si="2"/>
        <v>1880</v>
      </c>
      <c r="K45" s="117">
        <f t="shared" si="3"/>
        <v>8.26</v>
      </c>
      <c r="L45"/>
    </row>
    <row r="46" spans="1:12" x14ac:dyDescent="0.35">
      <c r="A46" s="123">
        <v>8.26</v>
      </c>
      <c r="B46" s="81">
        <v>1230</v>
      </c>
      <c r="H46" s="124">
        <v>650</v>
      </c>
      <c r="J46" s="79">
        <f t="shared" si="2"/>
        <v>1880</v>
      </c>
      <c r="K46" s="117">
        <f t="shared" si="3"/>
        <v>8.26</v>
      </c>
      <c r="L46"/>
    </row>
    <row r="47" spans="1:12" x14ac:dyDescent="0.35">
      <c r="A47" s="123">
        <v>8.2799999999999994</v>
      </c>
      <c r="B47" s="81">
        <v>1675.6</v>
      </c>
      <c r="H47" s="124"/>
      <c r="J47" s="79">
        <f t="shared" si="2"/>
        <v>1675.6</v>
      </c>
      <c r="K47" s="117" t="s">
        <v>292</v>
      </c>
      <c r="L47"/>
    </row>
    <row r="48" spans="1:12" x14ac:dyDescent="0.35">
      <c r="A48" s="123">
        <v>9.1</v>
      </c>
      <c r="B48" s="81">
        <v>1089</v>
      </c>
      <c r="E48" s="82">
        <v>655</v>
      </c>
      <c r="H48" s="124"/>
      <c r="J48" s="79">
        <f t="shared" si="2"/>
        <v>1744</v>
      </c>
      <c r="K48" s="117">
        <f t="shared" si="3"/>
        <v>9.1</v>
      </c>
      <c r="L48"/>
    </row>
    <row r="49" spans="1:12" x14ac:dyDescent="0.35">
      <c r="A49" s="123">
        <v>9.17</v>
      </c>
      <c r="E49" s="82">
        <v>704</v>
      </c>
      <c r="H49" s="124"/>
      <c r="J49" s="79">
        <f t="shared" si="2"/>
        <v>704</v>
      </c>
      <c r="K49" s="117">
        <f t="shared" si="3"/>
        <v>9.17</v>
      </c>
      <c r="L49"/>
    </row>
    <row r="50" spans="1:12" x14ac:dyDescent="0.35">
      <c r="A50" s="123">
        <v>9.18</v>
      </c>
      <c r="B50" s="81">
        <v>981</v>
      </c>
      <c r="H50" s="124"/>
      <c r="J50" s="79">
        <f t="shared" si="2"/>
        <v>981</v>
      </c>
      <c r="K50" s="117">
        <f t="shared" si="3"/>
        <v>9.18</v>
      </c>
      <c r="L50"/>
    </row>
    <row r="51" spans="1:12" x14ac:dyDescent="0.35">
      <c r="A51" s="123">
        <v>9.19</v>
      </c>
      <c r="B51" s="81">
        <v>1638.2</v>
      </c>
      <c r="H51" s="124"/>
      <c r="J51" s="79">
        <f>SUM(B51:I51)</f>
        <v>1638.2</v>
      </c>
      <c r="K51" s="117">
        <f t="shared" si="3"/>
        <v>9.19</v>
      </c>
      <c r="L51"/>
    </row>
    <row r="52" spans="1:12" x14ac:dyDescent="0.35">
      <c r="A52" s="123">
        <v>9.2200000000000006</v>
      </c>
      <c r="B52" s="81">
        <v>1665</v>
      </c>
      <c r="H52" s="124"/>
      <c r="J52" s="79">
        <f>SUM(B52:I52)</f>
        <v>1665</v>
      </c>
      <c r="K52" s="117">
        <f t="shared" si="3"/>
        <v>9.2200000000000006</v>
      </c>
      <c r="L52"/>
    </row>
    <row r="53" spans="1:12" x14ac:dyDescent="0.35">
      <c r="A53" s="123">
        <v>9.23</v>
      </c>
      <c r="B53" s="81">
        <v>1678</v>
      </c>
      <c r="H53" s="124"/>
      <c r="J53" s="79">
        <f>SUM(B53:I53)</f>
        <v>1678</v>
      </c>
      <c r="K53" s="117">
        <f t="shared" si="3"/>
        <v>9.23</v>
      </c>
      <c r="L53"/>
    </row>
    <row r="54" spans="1:12" x14ac:dyDescent="0.35">
      <c r="A54" s="123">
        <v>9.25</v>
      </c>
      <c r="B54" s="81">
        <v>1076.3</v>
      </c>
      <c r="D54" s="78">
        <v>874.7</v>
      </c>
      <c r="H54" s="124"/>
      <c r="J54" s="79">
        <f t="shared" si="2"/>
        <v>1951</v>
      </c>
      <c r="K54" s="117">
        <f t="shared" si="3"/>
        <v>9.25</v>
      </c>
      <c r="L54"/>
    </row>
    <row r="55" spans="1:12" x14ac:dyDescent="0.35">
      <c r="A55" s="123">
        <v>9.26</v>
      </c>
      <c r="B55" s="81">
        <v>1000</v>
      </c>
      <c r="D55" s="78">
        <v>690</v>
      </c>
      <c r="H55" s="124"/>
      <c r="J55" s="79">
        <f t="shared" si="2"/>
        <v>1690</v>
      </c>
      <c r="K55" s="117">
        <f t="shared" si="3"/>
        <v>9.26</v>
      </c>
      <c r="L55"/>
    </row>
    <row r="56" spans="1:12" x14ac:dyDescent="0.35">
      <c r="A56" s="123">
        <v>9.27</v>
      </c>
      <c r="B56" s="81">
        <v>1771</v>
      </c>
      <c r="H56" s="124"/>
      <c r="J56" s="79">
        <f t="shared" si="2"/>
        <v>1771</v>
      </c>
      <c r="K56" s="117">
        <f t="shared" si="3"/>
        <v>9.27</v>
      </c>
      <c r="L56"/>
    </row>
    <row r="57" spans="1:12" x14ac:dyDescent="0.35">
      <c r="A57" s="123">
        <v>10.01</v>
      </c>
      <c r="H57" s="124">
        <v>660</v>
      </c>
      <c r="I57" s="84">
        <v>1021</v>
      </c>
      <c r="J57" s="79">
        <f t="shared" si="2"/>
        <v>1681</v>
      </c>
      <c r="K57" s="117">
        <f t="shared" si="3"/>
        <v>10.01</v>
      </c>
      <c r="L57"/>
    </row>
    <row r="58" spans="1:12" x14ac:dyDescent="0.35">
      <c r="A58" s="123">
        <v>10.029999999999999</v>
      </c>
      <c r="B58" s="81">
        <v>1310</v>
      </c>
      <c r="E58" s="82">
        <v>340</v>
      </c>
      <c r="H58" s="124"/>
      <c r="J58" s="79">
        <f t="shared" si="2"/>
        <v>1650</v>
      </c>
      <c r="K58" s="117">
        <f t="shared" si="3"/>
        <v>10.029999999999999</v>
      </c>
      <c r="L58"/>
    </row>
    <row r="59" spans="1:12" x14ac:dyDescent="0.35">
      <c r="A59" s="123">
        <v>10.06</v>
      </c>
      <c r="B59" s="81">
        <v>1250</v>
      </c>
      <c r="E59" s="82">
        <v>350</v>
      </c>
      <c r="H59" s="124"/>
      <c r="J59" s="79">
        <f t="shared" si="2"/>
        <v>1600</v>
      </c>
      <c r="K59" s="117">
        <f t="shared" si="3"/>
        <v>10.06</v>
      </c>
      <c r="L59"/>
    </row>
    <row r="60" spans="1:12" x14ac:dyDescent="0.35">
      <c r="A60" s="123">
        <v>10.08</v>
      </c>
      <c r="B60" s="81">
        <v>958</v>
      </c>
      <c r="H60" s="124">
        <v>650</v>
      </c>
      <c r="J60" s="79">
        <f t="shared" si="2"/>
        <v>1608</v>
      </c>
      <c r="K60" s="117">
        <f t="shared" si="3"/>
        <v>10.08</v>
      </c>
      <c r="L60"/>
    </row>
    <row r="61" spans="1:12" x14ac:dyDescent="0.35">
      <c r="A61" s="123">
        <v>10.199999999999999</v>
      </c>
      <c r="B61" s="81">
        <v>1670</v>
      </c>
      <c r="H61" s="124"/>
      <c r="J61" s="79">
        <f t="shared" si="2"/>
        <v>1670</v>
      </c>
      <c r="K61" s="117">
        <f t="shared" si="3"/>
        <v>10.199999999999999</v>
      </c>
      <c r="L61"/>
    </row>
    <row r="62" spans="1:12" x14ac:dyDescent="0.35">
      <c r="A62" s="123">
        <v>11.04</v>
      </c>
      <c r="E62" s="82">
        <v>1658</v>
      </c>
      <c r="H62" s="124"/>
      <c r="J62" s="79">
        <f t="shared" si="2"/>
        <v>1658</v>
      </c>
      <c r="K62" s="117">
        <f t="shared" si="3"/>
        <v>11.04</v>
      </c>
      <c r="L62"/>
    </row>
    <row r="63" spans="1:12" x14ac:dyDescent="0.35">
      <c r="A63" s="123">
        <v>11.05</v>
      </c>
      <c r="B63" s="81">
        <v>1398</v>
      </c>
      <c r="E63" s="82">
        <v>350</v>
      </c>
      <c r="H63" s="124"/>
      <c r="J63" s="79">
        <f t="shared" si="2"/>
        <v>1748</v>
      </c>
      <c r="K63" s="117">
        <f t="shared" si="3"/>
        <v>11.05</v>
      </c>
      <c r="L63"/>
    </row>
    <row r="64" spans="1:12" x14ac:dyDescent="0.35">
      <c r="A64" s="123">
        <v>11.06</v>
      </c>
      <c r="E64" s="82">
        <v>1665</v>
      </c>
      <c r="H64" s="124"/>
      <c r="J64" s="79">
        <f t="shared" si="2"/>
        <v>1665</v>
      </c>
      <c r="K64" s="117">
        <f t="shared" si="3"/>
        <v>11.06</v>
      </c>
      <c r="L64"/>
    </row>
    <row r="65" spans="1:12" x14ac:dyDescent="0.35">
      <c r="A65" s="123">
        <v>11.07</v>
      </c>
      <c r="E65" s="81">
        <v>1757</v>
      </c>
      <c r="H65" s="124"/>
      <c r="J65" s="79">
        <f>SUM(C65:I65)</f>
        <v>1757</v>
      </c>
      <c r="K65" s="117">
        <f t="shared" si="3"/>
        <v>11.07</v>
      </c>
      <c r="L65"/>
    </row>
    <row r="66" spans="1:12" x14ac:dyDescent="0.35">
      <c r="A66" s="123">
        <v>11.25</v>
      </c>
      <c r="B66" s="81">
        <v>500</v>
      </c>
      <c r="D66" s="78">
        <v>1174</v>
      </c>
      <c r="H66" s="124"/>
      <c r="J66" s="79">
        <f t="shared" si="2"/>
        <v>1674</v>
      </c>
      <c r="K66" s="117">
        <f t="shared" si="3"/>
        <v>11.25</v>
      </c>
      <c r="L66"/>
    </row>
    <row r="67" spans="1:12" x14ac:dyDescent="0.35">
      <c r="A67" s="123">
        <v>11.26</v>
      </c>
      <c r="D67" s="78">
        <v>1202</v>
      </c>
      <c r="E67" s="81">
        <v>500</v>
      </c>
      <c r="H67" s="124"/>
      <c r="J67" s="79">
        <f t="shared" si="2"/>
        <v>1702</v>
      </c>
      <c r="K67" s="117">
        <f t="shared" si="3"/>
        <v>11.26</v>
      </c>
      <c r="L67"/>
    </row>
    <row r="68" spans="1:12" x14ac:dyDescent="0.35">
      <c r="A68" s="123">
        <v>11.27</v>
      </c>
      <c r="B68" s="81">
        <v>1701</v>
      </c>
      <c r="H68" s="124"/>
      <c r="J68" s="79">
        <f t="shared" si="2"/>
        <v>1701</v>
      </c>
      <c r="K68" s="117">
        <f t="shared" si="3"/>
        <v>11.27</v>
      </c>
      <c r="L68"/>
    </row>
    <row r="69" spans="1:12" x14ac:dyDescent="0.35">
      <c r="A69" s="123">
        <v>11.28</v>
      </c>
      <c r="B69" s="81">
        <v>1017</v>
      </c>
      <c r="E69" s="82">
        <v>650</v>
      </c>
      <c r="H69" s="124"/>
      <c r="J69" s="79">
        <f t="shared" si="2"/>
        <v>1667</v>
      </c>
      <c r="K69" s="117">
        <f t="shared" si="3"/>
        <v>11.28</v>
      </c>
      <c r="L69"/>
    </row>
    <row r="70" spans="1:12" x14ac:dyDescent="0.35">
      <c r="A70" s="123">
        <v>12.02</v>
      </c>
      <c r="B70" s="81">
        <v>1680</v>
      </c>
      <c r="H70" s="124"/>
      <c r="J70" s="79">
        <f t="shared" ref="J70:J81" si="6">SUM(B70:I70)</f>
        <v>1680</v>
      </c>
      <c r="K70" s="117">
        <f t="shared" ref="K70:K81" si="7">A70</f>
        <v>12.02</v>
      </c>
      <c r="L70"/>
    </row>
    <row r="71" spans="1:12" x14ac:dyDescent="0.35">
      <c r="A71" s="123">
        <v>12.03</v>
      </c>
      <c r="B71" s="81">
        <v>978</v>
      </c>
      <c r="H71" s="124">
        <v>650</v>
      </c>
      <c r="J71" s="79">
        <f t="shared" si="6"/>
        <v>1628</v>
      </c>
      <c r="K71" s="117">
        <f t="shared" si="7"/>
        <v>12.03</v>
      </c>
      <c r="L71"/>
    </row>
    <row r="72" spans="1:12" x14ac:dyDescent="0.35">
      <c r="A72" s="123">
        <v>12.05</v>
      </c>
      <c r="B72" s="81">
        <v>500</v>
      </c>
      <c r="D72" s="78">
        <v>1257</v>
      </c>
      <c r="H72" s="124"/>
      <c r="J72" s="79">
        <f t="shared" si="6"/>
        <v>1757</v>
      </c>
      <c r="K72" s="117">
        <f t="shared" si="7"/>
        <v>12.05</v>
      </c>
      <c r="L72"/>
    </row>
    <row r="73" spans="1:12" x14ac:dyDescent="0.35">
      <c r="A73" s="123">
        <v>12.06</v>
      </c>
      <c r="B73" s="81">
        <v>1679</v>
      </c>
      <c r="H73" s="124"/>
      <c r="J73" s="79">
        <f t="shared" si="6"/>
        <v>1679</v>
      </c>
      <c r="K73" s="117">
        <f t="shared" si="7"/>
        <v>12.06</v>
      </c>
      <c r="L73"/>
    </row>
    <row r="74" spans="1:12" x14ac:dyDescent="0.35">
      <c r="A74" s="123">
        <v>12.17</v>
      </c>
      <c r="B74" s="81">
        <v>1772</v>
      </c>
      <c r="H74" s="124"/>
      <c r="J74" s="79">
        <f t="shared" si="6"/>
        <v>1772</v>
      </c>
      <c r="K74" s="117">
        <f t="shared" si="7"/>
        <v>12.17</v>
      </c>
      <c r="L74"/>
    </row>
    <row r="75" spans="1:12" x14ac:dyDescent="0.35">
      <c r="A75" s="123">
        <v>12.18</v>
      </c>
      <c r="B75" s="81">
        <v>701</v>
      </c>
      <c r="E75" s="82">
        <v>450</v>
      </c>
      <c r="H75" s="124">
        <v>325</v>
      </c>
      <c r="J75" s="79">
        <f t="shared" si="6"/>
        <v>1476</v>
      </c>
      <c r="K75" s="117">
        <f t="shared" si="7"/>
        <v>12.18</v>
      </c>
      <c r="L75"/>
    </row>
    <row r="76" spans="1:12" x14ac:dyDescent="0.35">
      <c r="A76" s="123">
        <v>12.18</v>
      </c>
      <c r="B76" s="81">
        <v>1683</v>
      </c>
      <c r="H76" s="124"/>
      <c r="J76" s="79">
        <f t="shared" si="6"/>
        <v>1683</v>
      </c>
      <c r="K76" s="117">
        <f t="shared" si="7"/>
        <v>12.18</v>
      </c>
      <c r="L76"/>
    </row>
    <row r="77" spans="1:12" x14ac:dyDescent="0.35">
      <c r="A77" s="123">
        <v>1.23</v>
      </c>
      <c r="B77" s="81">
        <v>1594</v>
      </c>
      <c r="H77" s="124"/>
      <c r="J77" s="79">
        <f t="shared" si="6"/>
        <v>1594</v>
      </c>
      <c r="K77" s="117">
        <f t="shared" si="7"/>
        <v>1.23</v>
      </c>
      <c r="L77"/>
    </row>
    <row r="78" spans="1:12" x14ac:dyDescent="0.35">
      <c r="A78" s="35" t="s">
        <v>287</v>
      </c>
      <c r="B78" s="69">
        <v>434</v>
      </c>
      <c r="C78" s="69"/>
      <c r="D78" s="67">
        <v>1500</v>
      </c>
      <c r="E78" s="70"/>
      <c r="H78" s="124"/>
      <c r="J78" s="79">
        <f t="shared" si="6"/>
        <v>1934</v>
      </c>
      <c r="K78" s="117" t="str">
        <f t="shared" si="7"/>
        <v>02/19</v>
      </c>
      <c r="L78"/>
    </row>
    <row r="79" spans="1:12" x14ac:dyDescent="0.35">
      <c r="A79" s="35" t="s">
        <v>288</v>
      </c>
      <c r="B79" s="69">
        <f>1401-660</f>
        <v>741</v>
      </c>
      <c r="C79" s="69"/>
      <c r="D79" s="68"/>
      <c r="E79" s="70">
        <v>660</v>
      </c>
      <c r="H79" s="124"/>
      <c r="J79" s="79">
        <f t="shared" si="6"/>
        <v>1401</v>
      </c>
      <c r="K79" s="117" t="str">
        <f t="shared" si="7"/>
        <v>02/20</v>
      </c>
      <c r="L79"/>
    </row>
    <row r="80" spans="1:12" x14ac:dyDescent="0.35">
      <c r="A80" s="35" t="s">
        <v>293</v>
      </c>
      <c r="B80" s="69">
        <v>1895</v>
      </c>
      <c r="C80" s="69"/>
      <c r="D80" s="68"/>
      <c r="E80" s="70"/>
      <c r="H80" s="124"/>
      <c r="J80" s="79">
        <f t="shared" si="6"/>
        <v>1895</v>
      </c>
      <c r="K80" s="117" t="str">
        <f t="shared" si="7"/>
        <v>2/22</v>
      </c>
      <c r="L80"/>
    </row>
    <row r="81" spans="1:12" x14ac:dyDescent="0.35">
      <c r="A81" s="35" t="s">
        <v>289</v>
      </c>
      <c r="B81" s="69">
        <v>1748</v>
      </c>
      <c r="C81" s="69"/>
      <c r="D81" s="68"/>
      <c r="E81" s="70"/>
      <c r="H81" s="124"/>
      <c r="J81" s="79">
        <f t="shared" si="6"/>
        <v>1748</v>
      </c>
      <c r="K81" s="117" t="str">
        <f t="shared" si="7"/>
        <v>2/23</v>
      </c>
      <c r="L81"/>
    </row>
    <row r="82" spans="1:12" x14ac:dyDescent="0.35">
      <c r="A82" s="125"/>
      <c r="B82" s="171" t="s">
        <v>290</v>
      </c>
      <c r="C82" s="171"/>
      <c r="D82" s="171"/>
      <c r="E82" s="171"/>
      <c r="F82" s="171"/>
      <c r="G82" s="171"/>
      <c r="H82" s="171"/>
      <c r="I82" s="171"/>
      <c r="J82" s="110"/>
      <c r="K82" s="110"/>
      <c r="L82"/>
    </row>
    <row r="83" spans="1:12" x14ac:dyDescent="0.35">
      <c r="A83" s="125"/>
      <c r="B83" s="85">
        <f t="shared" ref="B83:J83" si="8">SUM(B2:B81)</f>
        <v>81061.100000000006</v>
      </c>
      <c r="C83" s="85">
        <f t="shared" si="8"/>
        <v>6170.8</v>
      </c>
      <c r="D83" s="85">
        <f t="shared" si="8"/>
        <v>17091.7</v>
      </c>
      <c r="E83" s="85">
        <f t="shared" si="8"/>
        <v>20351</v>
      </c>
      <c r="F83" s="85">
        <f t="shared" si="8"/>
        <v>2038</v>
      </c>
      <c r="G83" s="85">
        <f t="shared" si="8"/>
        <v>1760</v>
      </c>
      <c r="H83" s="85">
        <f t="shared" si="8"/>
        <v>3920</v>
      </c>
      <c r="I83" s="85">
        <f t="shared" si="8"/>
        <v>1521</v>
      </c>
      <c r="J83" s="86">
        <f t="shared" si="8"/>
        <v>132192.6</v>
      </c>
      <c r="K83" s="87" t="s">
        <v>216</v>
      </c>
      <c r="L83"/>
    </row>
    <row r="84" spans="1:12" x14ac:dyDescent="0.35">
      <c r="A84" s="125"/>
      <c r="B84" s="88" t="s">
        <v>217</v>
      </c>
      <c r="C84" s="88" t="s">
        <v>218</v>
      </c>
      <c r="D84" s="88" t="s">
        <v>219</v>
      </c>
      <c r="E84" s="88" t="s">
        <v>220</v>
      </c>
      <c r="F84" s="88" t="s">
        <v>221</v>
      </c>
      <c r="G84" s="88" t="s">
        <v>3</v>
      </c>
      <c r="H84" s="88" t="s">
        <v>6</v>
      </c>
      <c r="I84" s="88" t="s">
        <v>222</v>
      </c>
      <c r="J84" s="89"/>
      <c r="K84" s="104"/>
      <c r="L84"/>
    </row>
    <row r="85" spans="1:12" ht="37" customHeight="1" x14ac:dyDescent="0.35">
      <c r="A85" s="129"/>
      <c r="B85" s="160" t="s">
        <v>177</v>
      </c>
      <c r="C85" s="160"/>
      <c r="D85" s="160"/>
      <c r="E85" s="160"/>
      <c r="F85" s="160"/>
      <c r="G85" s="160"/>
      <c r="H85" s="160"/>
      <c r="I85" s="161"/>
      <c r="J85" s="203" t="s">
        <v>283</v>
      </c>
      <c r="K85" s="204"/>
      <c r="L85"/>
    </row>
    <row r="86" spans="1:12" x14ac:dyDescent="0.35">
      <c r="A86" s="97">
        <v>1.31</v>
      </c>
      <c r="B86" s="81">
        <v>3169</v>
      </c>
      <c r="D86" s="78">
        <v>616</v>
      </c>
      <c r="G86" s="83">
        <v>1785</v>
      </c>
      <c r="H86" s="79">
        <f t="shared" ref="H86:H116" si="9">SUM(B86:G86)</f>
        <v>5570</v>
      </c>
      <c r="I86" s="102">
        <f t="shared" ref="I86:I116" si="10">A86</f>
        <v>1.31</v>
      </c>
      <c r="J86" s="79">
        <v>230</v>
      </c>
      <c r="K86" s="143">
        <f>H86*J86</f>
        <v>1281100</v>
      </c>
    </row>
    <row r="87" spans="1:12" x14ac:dyDescent="0.35">
      <c r="A87" s="97">
        <v>2.12</v>
      </c>
      <c r="B87" s="81">
        <v>2775.7</v>
      </c>
      <c r="D87" s="78">
        <v>3904.3</v>
      </c>
      <c r="H87" s="79">
        <f t="shared" si="9"/>
        <v>6680</v>
      </c>
      <c r="I87" s="102">
        <f t="shared" si="10"/>
        <v>2.12</v>
      </c>
      <c r="J87" s="79">
        <v>250</v>
      </c>
      <c r="K87" s="143">
        <f>H87*J87</f>
        <v>1670000</v>
      </c>
    </row>
    <row r="88" spans="1:12" x14ac:dyDescent="0.35">
      <c r="A88" s="97">
        <v>2.19</v>
      </c>
      <c r="B88" s="81">
        <v>4572.6000000000004</v>
      </c>
      <c r="H88" s="79">
        <f t="shared" si="9"/>
        <v>4572.6000000000004</v>
      </c>
      <c r="I88" s="102">
        <f t="shared" si="10"/>
        <v>2.19</v>
      </c>
      <c r="J88" s="79">
        <v>250</v>
      </c>
      <c r="K88" s="143">
        <f t="shared" ref="K88:K116" si="11">H88*J88</f>
        <v>1143150</v>
      </c>
    </row>
    <row r="89" spans="1:12" x14ac:dyDescent="0.35">
      <c r="A89" s="97">
        <v>2.19</v>
      </c>
      <c r="C89" s="81">
        <v>2092.9</v>
      </c>
      <c r="H89" s="79">
        <f t="shared" si="9"/>
        <v>2092.9</v>
      </c>
      <c r="I89" s="102">
        <f t="shared" si="10"/>
        <v>2.19</v>
      </c>
      <c r="J89" s="79">
        <v>240</v>
      </c>
      <c r="K89" s="143">
        <f t="shared" si="11"/>
        <v>502296</v>
      </c>
    </row>
    <row r="90" spans="1:12" x14ac:dyDescent="0.35">
      <c r="A90" s="97">
        <v>3.14</v>
      </c>
      <c r="B90" s="81">
        <v>1505.75</v>
      </c>
      <c r="H90" s="79">
        <f t="shared" si="9"/>
        <v>1505.75</v>
      </c>
      <c r="I90" s="102">
        <f t="shared" si="10"/>
        <v>3.14</v>
      </c>
      <c r="J90" s="79">
        <v>250</v>
      </c>
      <c r="K90" s="143">
        <f t="shared" si="11"/>
        <v>376437.5</v>
      </c>
    </row>
    <row r="91" spans="1:12" x14ac:dyDescent="0.35">
      <c r="A91" s="97">
        <v>4.22</v>
      </c>
      <c r="C91" s="81">
        <v>1701.5</v>
      </c>
      <c r="F91" s="82">
        <v>1200</v>
      </c>
      <c r="H91" s="79">
        <f t="shared" si="9"/>
        <v>2901.5</v>
      </c>
      <c r="I91" s="102">
        <f t="shared" si="10"/>
        <v>4.22</v>
      </c>
      <c r="J91" s="79">
        <v>260</v>
      </c>
      <c r="K91" s="143">
        <f t="shared" si="11"/>
        <v>754390</v>
      </c>
    </row>
    <row r="92" spans="1:12" x14ac:dyDescent="0.35">
      <c r="A92" s="97">
        <v>5.07</v>
      </c>
      <c r="B92" s="81">
        <v>4118.3</v>
      </c>
      <c r="E92" s="82">
        <v>2166.75</v>
      </c>
      <c r="H92" s="79">
        <f t="shared" si="9"/>
        <v>6285.05</v>
      </c>
      <c r="I92" s="102">
        <f t="shared" si="10"/>
        <v>5.07</v>
      </c>
      <c r="J92" s="79">
        <v>250</v>
      </c>
      <c r="K92" s="143">
        <f t="shared" si="11"/>
        <v>1571262.5</v>
      </c>
    </row>
    <row r="93" spans="1:12" x14ac:dyDescent="0.35">
      <c r="A93" s="97">
        <v>6.02</v>
      </c>
      <c r="B93" s="81">
        <v>2318.6</v>
      </c>
      <c r="E93" s="82">
        <v>2314.5500000000002</v>
      </c>
      <c r="H93" s="79">
        <f t="shared" si="9"/>
        <v>4633.1499999999996</v>
      </c>
      <c r="I93" s="102">
        <f t="shared" si="10"/>
        <v>6.02</v>
      </c>
      <c r="J93" s="79">
        <v>250</v>
      </c>
      <c r="K93" s="143">
        <f t="shared" si="11"/>
        <v>1158287.5</v>
      </c>
    </row>
    <row r="94" spans="1:12" x14ac:dyDescent="0.35">
      <c r="A94" s="97">
        <v>6.04</v>
      </c>
      <c r="B94" s="81">
        <v>3012.2</v>
      </c>
      <c r="C94" s="81">
        <v>2466.9</v>
      </c>
      <c r="H94" s="79">
        <f t="shared" si="9"/>
        <v>5479.1</v>
      </c>
      <c r="I94" s="102">
        <f t="shared" si="10"/>
        <v>6.04</v>
      </c>
      <c r="J94" s="79">
        <v>235</v>
      </c>
      <c r="K94" s="143">
        <f t="shared" si="11"/>
        <v>1287588.5</v>
      </c>
    </row>
    <row r="95" spans="1:12" x14ac:dyDescent="0.35">
      <c r="A95" s="97">
        <v>6.07</v>
      </c>
      <c r="B95" s="81">
        <v>600</v>
      </c>
      <c r="H95" s="79">
        <f t="shared" si="9"/>
        <v>600</v>
      </c>
      <c r="I95" s="102">
        <f t="shared" si="10"/>
        <v>6.07</v>
      </c>
      <c r="J95" s="79">
        <v>250</v>
      </c>
      <c r="K95" s="143">
        <f t="shared" si="11"/>
        <v>150000</v>
      </c>
    </row>
    <row r="96" spans="1:12" x14ac:dyDescent="0.35">
      <c r="A96" s="97">
        <v>6.12</v>
      </c>
      <c r="B96" s="81">
        <v>4005.4</v>
      </c>
      <c r="E96" s="82">
        <v>2514.35</v>
      </c>
      <c r="H96" s="79">
        <f t="shared" si="9"/>
        <v>6519.75</v>
      </c>
      <c r="I96" s="102">
        <f t="shared" si="10"/>
        <v>6.12</v>
      </c>
      <c r="J96" s="79">
        <v>250</v>
      </c>
      <c r="K96" s="143">
        <f t="shared" si="11"/>
        <v>1629937.5</v>
      </c>
    </row>
    <row r="97" spans="1:11" x14ac:dyDescent="0.35">
      <c r="A97" s="97">
        <v>6.15</v>
      </c>
      <c r="B97" s="81">
        <v>5500</v>
      </c>
      <c r="H97" s="79">
        <f t="shared" si="9"/>
        <v>5500</v>
      </c>
      <c r="I97" s="102">
        <f t="shared" si="10"/>
        <v>6.15</v>
      </c>
      <c r="J97" s="79">
        <v>250</v>
      </c>
      <c r="K97" s="143">
        <f t="shared" si="11"/>
        <v>1375000</v>
      </c>
    </row>
    <row r="98" spans="1:11" x14ac:dyDescent="0.35">
      <c r="A98" s="97">
        <v>6.21</v>
      </c>
      <c r="B98" s="81">
        <v>975.25</v>
      </c>
      <c r="D98" s="78">
        <v>5976.2</v>
      </c>
      <c r="H98" s="79">
        <f t="shared" si="9"/>
        <v>6951.45</v>
      </c>
      <c r="I98" s="102">
        <f t="shared" si="10"/>
        <v>6.21</v>
      </c>
      <c r="J98" s="79">
        <v>250</v>
      </c>
      <c r="K98" s="143">
        <f t="shared" si="11"/>
        <v>1737862.5</v>
      </c>
    </row>
    <row r="99" spans="1:11" x14ac:dyDescent="0.35">
      <c r="A99" s="97">
        <v>6.25</v>
      </c>
      <c r="F99" s="82">
        <v>527.08000000000004</v>
      </c>
      <c r="H99" s="79">
        <f t="shared" si="9"/>
        <v>527.08000000000004</v>
      </c>
      <c r="I99" s="102">
        <f t="shared" si="10"/>
        <v>6.25</v>
      </c>
      <c r="J99" s="79">
        <v>270</v>
      </c>
      <c r="K99" s="143">
        <f t="shared" si="11"/>
        <v>142311.6</v>
      </c>
    </row>
    <row r="100" spans="1:11" x14ac:dyDescent="0.35">
      <c r="A100" s="97">
        <v>6.27</v>
      </c>
      <c r="B100" s="81">
        <v>5561.2</v>
      </c>
      <c r="E100" s="82">
        <v>1845.1</v>
      </c>
      <c r="H100" s="79">
        <f t="shared" si="9"/>
        <v>7406.2999999999993</v>
      </c>
      <c r="I100" s="102">
        <f t="shared" si="10"/>
        <v>6.27</v>
      </c>
      <c r="J100" s="79">
        <v>250</v>
      </c>
      <c r="K100" s="143">
        <f t="shared" si="11"/>
        <v>1851574.9999999998</v>
      </c>
    </row>
    <row r="101" spans="1:11" x14ac:dyDescent="0.35">
      <c r="A101" s="97">
        <v>7.21</v>
      </c>
      <c r="B101" s="81">
        <v>7149.65</v>
      </c>
      <c r="H101" s="79">
        <f t="shared" si="9"/>
        <v>7149.65</v>
      </c>
      <c r="I101" s="102">
        <f t="shared" si="10"/>
        <v>7.21</v>
      </c>
      <c r="J101" s="79">
        <v>270</v>
      </c>
      <c r="K101" s="143">
        <f t="shared" si="11"/>
        <v>1930405.5</v>
      </c>
    </row>
    <row r="102" spans="1:11" x14ac:dyDescent="0.35">
      <c r="A102" s="97">
        <v>8.06</v>
      </c>
      <c r="F102" s="82">
        <v>318.94</v>
      </c>
      <c r="H102" s="79">
        <f t="shared" si="9"/>
        <v>318.94</v>
      </c>
      <c r="I102" s="102">
        <f t="shared" si="10"/>
        <v>8.06</v>
      </c>
      <c r="J102" s="79">
        <v>285</v>
      </c>
      <c r="K102" s="143">
        <f t="shared" si="11"/>
        <v>90897.9</v>
      </c>
    </row>
    <row r="103" spans="1:11" x14ac:dyDescent="0.35">
      <c r="A103" s="97">
        <v>8.15</v>
      </c>
      <c r="B103" s="81">
        <v>7340</v>
      </c>
      <c r="H103" s="79">
        <f t="shared" si="9"/>
        <v>7340</v>
      </c>
      <c r="I103" s="102">
        <f t="shared" si="10"/>
        <v>8.15</v>
      </c>
      <c r="J103" s="79">
        <v>275</v>
      </c>
      <c r="K103" s="143">
        <f t="shared" si="11"/>
        <v>2018500</v>
      </c>
    </row>
    <row r="104" spans="1:11" x14ac:dyDescent="0.35">
      <c r="A104" s="97">
        <v>9.0399999999999991</v>
      </c>
      <c r="E104" s="82">
        <v>1889.5</v>
      </c>
      <c r="H104" s="79">
        <f t="shared" si="9"/>
        <v>1889.5</v>
      </c>
      <c r="I104" s="102">
        <f t="shared" si="10"/>
        <v>9.0399999999999991</v>
      </c>
      <c r="J104" s="79">
        <v>253</v>
      </c>
      <c r="K104" s="143">
        <f t="shared" si="11"/>
        <v>478043.5</v>
      </c>
    </row>
    <row r="105" spans="1:11" x14ac:dyDescent="0.35">
      <c r="A105" s="97">
        <v>9.19</v>
      </c>
      <c r="B105" s="81">
        <v>5299.3</v>
      </c>
      <c r="D105" s="78">
        <v>1768.2</v>
      </c>
      <c r="H105" s="79">
        <f t="shared" si="9"/>
        <v>7067.5</v>
      </c>
      <c r="I105" s="102">
        <f t="shared" si="10"/>
        <v>9.19</v>
      </c>
      <c r="J105" s="79">
        <v>265</v>
      </c>
      <c r="K105" s="143">
        <f t="shared" si="11"/>
        <v>1872887.5</v>
      </c>
    </row>
    <row r="106" spans="1:11" x14ac:dyDescent="0.35">
      <c r="A106" s="97">
        <v>9.25</v>
      </c>
      <c r="B106" s="81">
        <v>2551.25</v>
      </c>
      <c r="H106" s="79">
        <f t="shared" si="9"/>
        <v>2551.25</v>
      </c>
      <c r="I106" s="102">
        <f t="shared" si="10"/>
        <v>9.25</v>
      </c>
      <c r="J106" s="79">
        <v>265</v>
      </c>
      <c r="K106" s="143">
        <f t="shared" si="11"/>
        <v>676081.25</v>
      </c>
    </row>
    <row r="107" spans="1:11" x14ac:dyDescent="0.35">
      <c r="A107" s="97">
        <v>9.2899999999999991</v>
      </c>
      <c r="B107" s="81">
        <v>2636.9</v>
      </c>
      <c r="H107" s="79">
        <f t="shared" si="9"/>
        <v>2636.9</v>
      </c>
      <c r="I107" s="102">
        <f t="shared" si="10"/>
        <v>9.2899999999999991</v>
      </c>
      <c r="J107" s="79">
        <v>265</v>
      </c>
      <c r="K107" s="143">
        <f t="shared" si="11"/>
        <v>698778.5</v>
      </c>
    </row>
    <row r="108" spans="1:11" x14ac:dyDescent="0.35">
      <c r="A108" s="97">
        <v>10.06</v>
      </c>
      <c r="B108" s="81">
        <v>2497.9499999999998</v>
      </c>
      <c r="E108" s="82">
        <v>1019.2</v>
      </c>
      <c r="H108" s="79">
        <f t="shared" si="9"/>
        <v>3517.1499999999996</v>
      </c>
      <c r="I108" s="102">
        <f t="shared" si="10"/>
        <v>10.06</v>
      </c>
      <c r="J108" s="79">
        <v>265</v>
      </c>
      <c r="K108" s="143">
        <f t="shared" si="11"/>
        <v>932044.74999999988</v>
      </c>
    </row>
    <row r="109" spans="1:11" x14ac:dyDescent="0.35">
      <c r="A109" s="97">
        <v>10.1</v>
      </c>
      <c r="B109" s="81">
        <v>2000</v>
      </c>
      <c r="E109" s="82">
        <v>1227</v>
      </c>
      <c r="H109" s="79">
        <f>SUM(B109:G109)</f>
        <v>3227</v>
      </c>
      <c r="I109" s="102">
        <f>A109</f>
        <v>10.1</v>
      </c>
      <c r="J109" s="79">
        <v>265</v>
      </c>
      <c r="K109" s="143">
        <f>H109*J109</f>
        <v>855155</v>
      </c>
    </row>
    <row r="110" spans="1:11" x14ac:dyDescent="0.35">
      <c r="A110" s="97">
        <v>10.15</v>
      </c>
      <c r="E110" s="82">
        <v>2415.5</v>
      </c>
      <c r="H110" s="79">
        <f t="shared" si="9"/>
        <v>2415.5</v>
      </c>
      <c r="I110" s="102">
        <f t="shared" si="10"/>
        <v>10.15</v>
      </c>
      <c r="J110" s="79">
        <v>265</v>
      </c>
      <c r="K110" s="143">
        <f t="shared" si="11"/>
        <v>640107.5</v>
      </c>
    </row>
    <row r="111" spans="1:11" x14ac:dyDescent="0.35">
      <c r="A111" s="97">
        <v>11.01</v>
      </c>
      <c r="E111" s="82">
        <v>6730</v>
      </c>
      <c r="H111" s="79">
        <f t="shared" si="9"/>
        <v>6730</v>
      </c>
      <c r="I111" s="102">
        <f t="shared" si="10"/>
        <v>11.01</v>
      </c>
      <c r="J111" s="79">
        <v>265</v>
      </c>
      <c r="K111" s="143">
        <f t="shared" si="11"/>
        <v>1783450</v>
      </c>
    </row>
    <row r="112" spans="1:11" x14ac:dyDescent="0.35">
      <c r="A112" s="97">
        <v>11.13</v>
      </c>
      <c r="B112" s="81">
        <v>310.60000000000002</v>
      </c>
      <c r="H112" s="79">
        <f t="shared" si="9"/>
        <v>310.60000000000002</v>
      </c>
      <c r="I112" s="102">
        <f t="shared" si="10"/>
        <v>11.13</v>
      </c>
      <c r="J112" s="79">
        <v>380</v>
      </c>
      <c r="K112" s="143">
        <f t="shared" si="11"/>
        <v>118028.00000000001</v>
      </c>
    </row>
    <row r="113" spans="1:11" x14ac:dyDescent="0.35">
      <c r="A113" s="97">
        <v>11.17</v>
      </c>
      <c r="B113" s="81">
        <v>5450.9</v>
      </c>
      <c r="D113" s="78">
        <v>1548.65</v>
      </c>
      <c r="H113" s="79">
        <f t="shared" si="9"/>
        <v>6999.5499999999993</v>
      </c>
      <c r="I113" s="102">
        <f t="shared" si="10"/>
        <v>11.17</v>
      </c>
      <c r="J113" s="79">
        <v>380</v>
      </c>
      <c r="K113" s="143">
        <f t="shared" si="11"/>
        <v>2659828.9999999995</v>
      </c>
    </row>
    <row r="114" spans="1:11" x14ac:dyDescent="0.35">
      <c r="A114" s="97">
        <v>11.19</v>
      </c>
      <c r="B114" s="81">
        <v>5686</v>
      </c>
      <c r="H114" s="79">
        <f t="shared" si="9"/>
        <v>5686</v>
      </c>
      <c r="I114" s="102">
        <f t="shared" si="10"/>
        <v>11.19</v>
      </c>
      <c r="J114" s="79">
        <v>380</v>
      </c>
      <c r="K114" s="143">
        <f t="shared" si="11"/>
        <v>2160680</v>
      </c>
    </row>
    <row r="115" spans="1:11" x14ac:dyDescent="0.35">
      <c r="A115" s="97">
        <v>11.26</v>
      </c>
      <c r="D115" s="78">
        <v>3503.2</v>
      </c>
      <c r="H115" s="79">
        <f t="shared" si="9"/>
        <v>3503.2</v>
      </c>
      <c r="I115" s="102">
        <f t="shared" si="10"/>
        <v>11.26</v>
      </c>
      <c r="J115" s="79">
        <v>380</v>
      </c>
      <c r="K115" s="143">
        <f t="shared" si="11"/>
        <v>1331216</v>
      </c>
    </row>
    <row r="116" spans="1:11" x14ac:dyDescent="0.35">
      <c r="A116" s="97">
        <v>12.06</v>
      </c>
      <c r="B116" s="81">
        <v>7160.2</v>
      </c>
      <c r="H116" s="79">
        <f t="shared" si="9"/>
        <v>7160.2</v>
      </c>
      <c r="I116" s="102">
        <f t="shared" si="10"/>
        <v>12.06</v>
      </c>
      <c r="J116" s="79">
        <v>600</v>
      </c>
      <c r="K116" s="143">
        <f t="shared" si="11"/>
        <v>4296120</v>
      </c>
    </row>
    <row r="117" spans="1:11" x14ac:dyDescent="0.35">
      <c r="A117" s="125"/>
      <c r="B117" s="126"/>
      <c r="C117" s="126"/>
      <c r="D117" s="94"/>
      <c r="E117" s="126"/>
      <c r="F117" s="126"/>
      <c r="G117" s="126"/>
      <c r="H117" s="126"/>
      <c r="I117" s="126"/>
      <c r="K117" s="79">
        <f>SUM(K86:K116)</f>
        <v>39173423</v>
      </c>
    </row>
    <row r="118" spans="1:11" x14ac:dyDescent="0.35">
      <c r="A118" s="125"/>
      <c r="B118" s="126"/>
      <c r="C118" s="126"/>
      <c r="D118" s="94"/>
      <c r="E118" s="126"/>
      <c r="F118" s="126"/>
      <c r="G118" s="126"/>
      <c r="H118" s="126"/>
      <c r="I118" s="126"/>
    </row>
    <row r="119" spans="1:11" x14ac:dyDescent="0.35">
      <c r="A119" s="127" t="s">
        <v>275</v>
      </c>
      <c r="B119" s="128">
        <f t="shared" ref="B119:G119" si="12">SUM(B86:B116)</f>
        <v>86196.75</v>
      </c>
      <c r="C119" s="128">
        <f t="shared" si="12"/>
        <v>6261.3</v>
      </c>
      <c r="D119" s="128">
        <f t="shared" si="12"/>
        <v>17316.55</v>
      </c>
      <c r="E119" s="128">
        <f t="shared" si="12"/>
        <v>22121.95</v>
      </c>
      <c r="F119" s="128">
        <f t="shared" si="12"/>
        <v>2046.02</v>
      </c>
      <c r="G119" s="128">
        <f t="shared" si="12"/>
        <v>1785</v>
      </c>
      <c r="H119" s="128"/>
      <c r="I119" s="128"/>
      <c r="J119" s="128">
        <f>SUM(B119:I119)</f>
        <v>135727.57</v>
      </c>
      <c r="K119" s="100"/>
    </row>
    <row r="120" spans="1:11" x14ac:dyDescent="0.35">
      <c r="A120" s="131" t="s">
        <v>294</v>
      </c>
      <c r="B120" s="133">
        <f t="shared" ref="B120:I120" si="13">B83</f>
        <v>81061.100000000006</v>
      </c>
      <c r="C120" s="128">
        <f t="shared" si="13"/>
        <v>6170.8</v>
      </c>
      <c r="D120" s="128">
        <f t="shared" si="13"/>
        <v>17091.7</v>
      </c>
      <c r="E120" s="134">
        <f t="shared" si="13"/>
        <v>20351</v>
      </c>
      <c r="F120" s="128">
        <f t="shared" si="13"/>
        <v>2038</v>
      </c>
      <c r="G120" s="128">
        <f t="shared" si="13"/>
        <v>1760</v>
      </c>
      <c r="H120" s="133">
        <f t="shared" si="13"/>
        <v>3920</v>
      </c>
      <c r="I120" s="134">
        <f t="shared" si="13"/>
        <v>1521</v>
      </c>
      <c r="J120" s="128">
        <f t="shared" ref="J120:J121" si="14">SUM(B120:I120)</f>
        <v>133913.60000000001</v>
      </c>
      <c r="K120" s="132"/>
    </row>
    <row r="121" spans="1:11" x14ac:dyDescent="0.35">
      <c r="A121" s="192" t="s">
        <v>296</v>
      </c>
      <c r="B121" s="95">
        <f>B120+H120</f>
        <v>84981.1</v>
      </c>
      <c r="C121" s="95">
        <f>C83</f>
        <v>6170.8</v>
      </c>
      <c r="D121" s="95">
        <f>D83</f>
        <v>17091.7</v>
      </c>
      <c r="E121" s="95">
        <f>E120+I120</f>
        <v>21872</v>
      </c>
      <c r="F121" s="95">
        <f>F83</f>
        <v>2038</v>
      </c>
      <c r="G121" s="95">
        <f>G83</f>
        <v>1760</v>
      </c>
      <c r="H121" s="95"/>
      <c r="I121" s="95"/>
      <c r="J121" s="128">
        <f t="shared" si="14"/>
        <v>133913.60000000001</v>
      </c>
      <c r="K121" s="106"/>
    </row>
    <row r="122" spans="1:11" x14ac:dyDescent="0.35">
      <c r="A122" s="193"/>
      <c r="D122" s="81"/>
      <c r="E122" s="81"/>
      <c r="F122" s="81"/>
      <c r="G122" s="81"/>
      <c r="H122" s="81"/>
      <c r="I122" s="81"/>
      <c r="J122" s="81"/>
      <c r="K122" s="115" t="s">
        <v>277</v>
      </c>
    </row>
    <row r="123" spans="1:11" x14ac:dyDescent="0.35">
      <c r="A123" s="125"/>
      <c r="B123" s="126"/>
      <c r="C123" s="126"/>
      <c r="D123" s="126"/>
      <c r="E123" s="126"/>
      <c r="F123" s="126"/>
      <c r="G123" s="126"/>
      <c r="H123" s="126"/>
      <c r="I123" s="126"/>
    </row>
    <row r="124" spans="1:11" x14ac:dyDescent="0.35">
      <c r="A124" s="135" t="s">
        <v>295</v>
      </c>
      <c r="B124" s="136">
        <f>B119-B121</f>
        <v>1215.6499999999942</v>
      </c>
      <c r="C124" s="136">
        <f t="shared" ref="C124:G124" si="15">C119-C121</f>
        <v>90.5</v>
      </c>
      <c r="D124" s="136">
        <f t="shared" si="15"/>
        <v>224.84999999999854</v>
      </c>
      <c r="E124" s="136">
        <f t="shared" si="15"/>
        <v>249.95000000000073</v>
      </c>
      <c r="F124" s="136">
        <f t="shared" si="15"/>
        <v>8.0199999999999818</v>
      </c>
      <c r="G124" s="136">
        <f t="shared" si="15"/>
        <v>25</v>
      </c>
      <c r="H124" s="126"/>
      <c r="I124" s="126"/>
    </row>
    <row r="125" spans="1:11" ht="15" customHeight="1" x14ac:dyDescent="0.35">
      <c r="A125" s="135" t="s">
        <v>299</v>
      </c>
      <c r="B125" s="140">
        <f>100*B124/B120</f>
        <v>1.4996712356481643</v>
      </c>
      <c r="C125" s="140">
        <f t="shared" ref="C125:G125" si="16">100*C124/C120</f>
        <v>1.4665845595384714</v>
      </c>
      <c r="D125" s="140">
        <f t="shared" si="16"/>
        <v>1.3155508229140374</v>
      </c>
      <c r="E125" s="140">
        <f t="shared" si="16"/>
        <v>1.2281951746842943</v>
      </c>
      <c r="F125" s="142">
        <f t="shared" si="16"/>
        <v>0.39352306182531804</v>
      </c>
      <c r="G125" s="142">
        <f t="shared" si="16"/>
        <v>1.4204545454545454</v>
      </c>
      <c r="H125" s="138"/>
      <c r="I125" s="138"/>
      <c r="J125" s="139"/>
    </row>
    <row r="126" spans="1:11" ht="15" customHeight="1" x14ac:dyDescent="0.35">
      <c r="A126" s="135" t="s">
        <v>297</v>
      </c>
      <c r="B126" s="137">
        <f>B119*0.985</f>
        <v>84903.798750000002</v>
      </c>
      <c r="C126" s="137">
        <f t="shared" ref="C126:G126" si="17">C119*0.985</f>
        <v>6167.3805000000002</v>
      </c>
      <c r="D126" s="137">
        <f t="shared" si="17"/>
        <v>17056.801749999999</v>
      </c>
      <c r="E126" s="137">
        <f t="shared" si="17"/>
        <v>21790.120750000002</v>
      </c>
      <c r="F126" s="137">
        <f t="shared" si="17"/>
        <v>2015.3297</v>
      </c>
      <c r="G126" s="137">
        <f t="shared" si="17"/>
        <v>1758.2249999999999</v>
      </c>
      <c r="H126" s="126"/>
      <c r="I126" s="126"/>
    </row>
    <row r="127" spans="1:11" ht="15" customHeight="1" x14ac:dyDescent="0.35">
      <c r="A127" s="135" t="s">
        <v>298</v>
      </c>
      <c r="B127" s="137">
        <f>B126-B120</f>
        <v>3842.6987499999959</v>
      </c>
      <c r="C127" s="137">
        <f t="shared" ref="C127:G127" si="18">C126-C120</f>
        <v>-3.4194999999999709</v>
      </c>
      <c r="D127" s="137">
        <f t="shared" si="18"/>
        <v>-34.898250000002008</v>
      </c>
      <c r="E127" s="137">
        <f t="shared" si="18"/>
        <v>1439.1207500000019</v>
      </c>
      <c r="F127" s="137">
        <f t="shared" si="18"/>
        <v>-22.670299999999997</v>
      </c>
      <c r="G127" s="137">
        <f t="shared" si="18"/>
        <v>-1.7750000000000909</v>
      </c>
      <c r="H127" s="126"/>
      <c r="I127" s="126"/>
    </row>
    <row r="128" spans="1:11" x14ac:dyDescent="0.35">
      <c r="A128" s="172" t="s">
        <v>284</v>
      </c>
      <c r="B128" s="173"/>
      <c r="C128" s="205">
        <f>J121</f>
        <v>133913.60000000001</v>
      </c>
      <c r="D128" s="206"/>
    </row>
    <row r="129" spans="1:12" x14ac:dyDescent="0.35">
      <c r="A129" s="172" t="s">
        <v>285</v>
      </c>
      <c r="B129" s="173"/>
      <c r="C129" s="205">
        <v>6658.165</v>
      </c>
      <c r="D129" s="206"/>
      <c r="F129" s="141"/>
    </row>
    <row r="130" spans="1:12" x14ac:dyDescent="0.35">
      <c r="A130" s="172" t="s">
        <v>286</v>
      </c>
      <c r="B130" s="173"/>
      <c r="C130" s="205">
        <f>K117/1000</f>
        <v>39173.423000000003</v>
      </c>
      <c r="D130" s="206"/>
    </row>
    <row r="131" spans="1:12" x14ac:dyDescent="0.35">
      <c r="A131" s="172" t="s">
        <v>281</v>
      </c>
      <c r="B131" s="173"/>
      <c r="C131" s="205">
        <f>C129+C130</f>
        <v>45831.588000000003</v>
      </c>
      <c r="D131" s="206"/>
    </row>
    <row r="132" spans="1:12" x14ac:dyDescent="0.35">
      <c r="A132" s="113" t="s">
        <v>73</v>
      </c>
      <c r="B132" s="114">
        <f>1000*C129/C128</f>
        <v>49.719856683712479</v>
      </c>
      <c r="C132" s="174" t="s">
        <v>282</v>
      </c>
      <c r="D132" s="175"/>
      <c r="E132" s="176"/>
      <c r="F132" s="183" t="s">
        <v>282</v>
      </c>
      <c r="G132" s="184"/>
      <c r="H132" s="184"/>
      <c r="I132" s="185"/>
      <c r="J132" s="194" t="s">
        <v>282</v>
      </c>
      <c r="K132" s="195"/>
      <c r="L132" s="196"/>
    </row>
    <row r="133" spans="1:12" x14ac:dyDescent="0.35">
      <c r="A133" s="113" t="s">
        <v>150</v>
      </c>
      <c r="B133" s="114">
        <f>1000*C130/C128</f>
        <v>292.52759241779773</v>
      </c>
      <c r="C133" s="177"/>
      <c r="D133" s="178"/>
      <c r="E133" s="179"/>
      <c r="F133" s="186"/>
      <c r="G133" s="187"/>
      <c r="H133" s="187"/>
      <c r="I133" s="188"/>
      <c r="J133" s="197"/>
      <c r="K133" s="198"/>
      <c r="L133" s="199"/>
    </row>
    <row r="134" spans="1:12" x14ac:dyDescent="0.35">
      <c r="A134" s="113" t="s">
        <v>280</v>
      </c>
      <c r="B134" s="114">
        <f>B132+B133</f>
        <v>342.2474491015102</v>
      </c>
      <c r="C134" s="180"/>
      <c r="D134" s="181"/>
      <c r="E134" s="182"/>
      <c r="F134" s="189"/>
      <c r="G134" s="190"/>
      <c r="H134" s="190"/>
      <c r="I134" s="191"/>
      <c r="J134" s="200"/>
      <c r="K134" s="201"/>
      <c r="L134" s="202"/>
    </row>
    <row r="137" spans="1:12" x14ac:dyDescent="0.35">
      <c r="B137" s="81">
        <v>49720</v>
      </c>
    </row>
    <row r="138" spans="1:12" x14ac:dyDescent="0.35">
      <c r="B138" s="81">
        <v>292530</v>
      </c>
    </row>
  </sheetData>
  <autoFilter ref="A1:K117" xr:uid="{D01FD83C-310A-4E2C-BDD0-4A75C8135BF6}"/>
  <mergeCells count="15">
    <mergeCell ref="J132:L134"/>
    <mergeCell ref="J85:K85"/>
    <mergeCell ref="A131:B131"/>
    <mergeCell ref="C128:D128"/>
    <mergeCell ref="C129:D129"/>
    <mergeCell ref="C130:D130"/>
    <mergeCell ref="C131:D131"/>
    <mergeCell ref="B85:I85"/>
    <mergeCell ref="B82:I82"/>
    <mergeCell ref="A128:B128"/>
    <mergeCell ref="A129:B129"/>
    <mergeCell ref="A130:B130"/>
    <mergeCell ref="C132:E134"/>
    <mergeCell ref="F132:I134"/>
    <mergeCell ref="A121:A122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BC1-AD7E-47AF-B1D4-6F4D6D5ED1EE}">
  <dimension ref="A1:G56"/>
  <sheetViews>
    <sheetView topLeftCell="A13" zoomScale="160" zoomScaleNormal="160" workbookViewId="0">
      <selection activeCell="C21" sqref="C21"/>
    </sheetView>
  </sheetViews>
  <sheetFormatPr defaultRowHeight="14.5" x14ac:dyDescent="0.35"/>
  <cols>
    <col min="1" max="1" width="10.453125" style="97" bestFit="1" customWidth="1"/>
    <col min="2" max="2" width="12.1796875" style="81" bestFit="1" customWidth="1"/>
    <col min="3" max="4" width="12.1796875" style="147" customWidth="1"/>
    <col min="5" max="5" width="9.81640625" style="79" customWidth="1"/>
    <col min="6" max="6" width="14.08984375" style="102" bestFit="1" customWidth="1"/>
  </cols>
  <sheetData>
    <row r="1" spans="1:7" x14ac:dyDescent="0.35">
      <c r="A1" s="118" t="s">
        <v>8</v>
      </c>
      <c r="B1" s="118" t="s">
        <v>302</v>
      </c>
      <c r="C1" s="146" t="s">
        <v>301</v>
      </c>
      <c r="D1" s="146" t="s">
        <v>303</v>
      </c>
      <c r="E1" s="120" t="s">
        <v>304</v>
      </c>
      <c r="F1" s="121" t="s">
        <v>116</v>
      </c>
    </row>
    <row r="2" spans="1:7" x14ac:dyDescent="0.35">
      <c r="A2" s="123">
        <v>4.0999999999999996</v>
      </c>
      <c r="B2" s="81">
        <v>2857.44</v>
      </c>
      <c r="C2" s="81"/>
      <c r="D2" s="81"/>
      <c r="E2" s="79">
        <v>55.55</v>
      </c>
      <c r="F2" s="79">
        <f t="shared" ref="F2:F11" si="0">SUM(B2:D2)*E2</f>
        <v>158730.79199999999</v>
      </c>
      <c r="G2">
        <v>4</v>
      </c>
    </row>
    <row r="3" spans="1:7" x14ac:dyDescent="0.35">
      <c r="A3" s="157"/>
      <c r="B3" s="126"/>
      <c r="C3" s="126"/>
      <c r="D3" s="126"/>
      <c r="F3" s="79">
        <f t="shared" si="0"/>
        <v>0</v>
      </c>
    </row>
    <row r="4" spans="1:7" x14ac:dyDescent="0.35">
      <c r="A4" s="123">
        <v>6.12</v>
      </c>
      <c r="C4" s="81">
        <v>1042.82</v>
      </c>
      <c r="D4" s="81"/>
      <c r="E4" s="79">
        <v>59.3</v>
      </c>
      <c r="F4" s="79">
        <f t="shared" si="0"/>
        <v>61839.225999999995</v>
      </c>
      <c r="G4">
        <v>5</v>
      </c>
    </row>
    <row r="5" spans="1:7" x14ac:dyDescent="0.35">
      <c r="A5" s="123">
        <v>6.12</v>
      </c>
      <c r="B5" s="81">
        <v>535</v>
      </c>
      <c r="C5" s="81"/>
      <c r="D5" s="81"/>
      <c r="E5" s="79">
        <v>63.88</v>
      </c>
      <c r="F5" s="79">
        <f t="shared" si="0"/>
        <v>34175.800000000003</v>
      </c>
    </row>
    <row r="6" spans="1:7" x14ac:dyDescent="0.35">
      <c r="A6" s="157"/>
      <c r="B6" s="126"/>
      <c r="C6" s="126"/>
      <c r="D6" s="126"/>
      <c r="F6" s="79">
        <f t="shared" si="0"/>
        <v>0</v>
      </c>
    </row>
    <row r="7" spans="1:7" x14ac:dyDescent="0.35">
      <c r="A7" s="123">
        <v>6.24</v>
      </c>
      <c r="C7" s="81">
        <v>1006.28</v>
      </c>
      <c r="D7" s="81"/>
      <c r="E7" s="79">
        <v>65.08</v>
      </c>
      <c r="F7" s="79">
        <f t="shared" si="0"/>
        <v>65488.702399999995</v>
      </c>
      <c r="G7">
        <v>6</v>
      </c>
    </row>
    <row r="8" spans="1:7" x14ac:dyDescent="0.35">
      <c r="A8" s="123">
        <v>6.24</v>
      </c>
      <c r="B8" s="81">
        <v>3704.28</v>
      </c>
      <c r="C8" s="81"/>
      <c r="D8" s="81"/>
      <c r="E8" s="79">
        <v>60</v>
      </c>
      <c r="F8" s="79">
        <f t="shared" si="0"/>
        <v>222256.80000000002</v>
      </c>
    </row>
    <row r="9" spans="1:7" x14ac:dyDescent="0.35">
      <c r="A9" s="157"/>
      <c r="B9" s="126"/>
      <c r="C9" s="126"/>
      <c r="D9" s="126"/>
      <c r="F9" s="79">
        <f t="shared" si="0"/>
        <v>0</v>
      </c>
    </row>
    <row r="10" spans="1:7" x14ac:dyDescent="0.35">
      <c r="A10" s="123">
        <v>7.13</v>
      </c>
      <c r="B10" s="81">
        <v>992.9</v>
      </c>
      <c r="C10" s="81"/>
      <c r="D10" s="81"/>
      <c r="E10" s="79">
        <v>64.849999999999994</v>
      </c>
      <c r="F10" s="79">
        <f t="shared" si="0"/>
        <v>64389.564999999995</v>
      </c>
      <c r="G10">
        <v>7</v>
      </c>
    </row>
    <row r="11" spans="1:7" x14ac:dyDescent="0.35">
      <c r="A11" s="123">
        <v>7.13</v>
      </c>
      <c r="C11" s="81">
        <v>2502.84</v>
      </c>
      <c r="D11" s="81"/>
      <c r="E11" s="79">
        <v>59.9</v>
      </c>
      <c r="F11" s="79">
        <f t="shared" si="0"/>
        <v>149920.11600000001</v>
      </c>
    </row>
    <row r="12" spans="1:7" x14ac:dyDescent="0.35">
      <c r="A12" s="157"/>
      <c r="B12" s="126"/>
      <c r="C12" s="126"/>
      <c r="D12" s="126"/>
      <c r="F12" s="79">
        <f t="shared" ref="F12:F26" si="1">SUM(B12:D12)*E12</f>
        <v>0</v>
      </c>
    </row>
    <row r="13" spans="1:7" x14ac:dyDescent="0.35">
      <c r="A13" s="123">
        <v>7.26</v>
      </c>
      <c r="B13" s="81">
        <v>1425.96</v>
      </c>
      <c r="C13" s="81"/>
      <c r="D13" s="81"/>
      <c r="E13" s="79">
        <v>52.7</v>
      </c>
      <c r="F13" s="79">
        <f t="shared" si="1"/>
        <v>75148.092000000004</v>
      </c>
      <c r="G13">
        <v>8</v>
      </c>
    </row>
    <row r="14" spans="1:7" x14ac:dyDescent="0.35">
      <c r="A14" s="123">
        <v>7.26</v>
      </c>
      <c r="C14" s="81">
        <v>1662.82</v>
      </c>
      <c r="D14" s="81"/>
      <c r="E14" s="79">
        <v>56.5</v>
      </c>
      <c r="F14" s="79">
        <f t="shared" si="1"/>
        <v>93949.33</v>
      </c>
    </row>
    <row r="15" spans="1:7" x14ac:dyDescent="0.35">
      <c r="A15" s="157"/>
      <c r="B15" s="126"/>
      <c r="C15" s="126"/>
      <c r="D15" s="126"/>
      <c r="F15" s="79">
        <f t="shared" si="1"/>
        <v>0</v>
      </c>
    </row>
    <row r="16" spans="1:7" x14ac:dyDescent="0.35">
      <c r="A16" s="123">
        <v>8.0299999999999994</v>
      </c>
      <c r="B16" s="81">
        <v>2220.16</v>
      </c>
      <c r="C16" s="81"/>
      <c r="D16" s="81"/>
      <c r="E16" s="79">
        <v>61.5</v>
      </c>
      <c r="F16" s="79">
        <f t="shared" si="1"/>
        <v>136539.84</v>
      </c>
      <c r="G16">
        <v>9</v>
      </c>
    </row>
    <row r="17" spans="1:7" x14ac:dyDescent="0.35">
      <c r="A17" s="157"/>
      <c r="B17" s="126"/>
      <c r="C17" s="126"/>
      <c r="D17" s="126"/>
      <c r="F17" s="158">
        <f t="shared" si="1"/>
        <v>0</v>
      </c>
    </row>
    <row r="18" spans="1:7" x14ac:dyDescent="0.35">
      <c r="A18" s="123">
        <v>8.06</v>
      </c>
      <c r="B18" s="81">
        <v>2720.2</v>
      </c>
      <c r="C18" s="81"/>
      <c r="D18" s="81"/>
      <c r="E18" s="79">
        <v>59.82</v>
      </c>
      <c r="F18" s="79">
        <f t="shared" si="1"/>
        <v>162722.364</v>
      </c>
      <c r="G18">
        <v>10</v>
      </c>
    </row>
    <row r="19" spans="1:7" x14ac:dyDescent="0.35">
      <c r="A19" s="123">
        <v>8.06</v>
      </c>
      <c r="C19" s="81">
        <v>1943.42</v>
      </c>
      <c r="D19" s="81"/>
      <c r="E19" s="79">
        <v>63.6</v>
      </c>
      <c r="F19" s="79">
        <f t="shared" si="1"/>
        <v>123601.512</v>
      </c>
    </row>
    <row r="20" spans="1:7" x14ac:dyDescent="0.35">
      <c r="A20" s="157"/>
      <c r="B20" s="126"/>
      <c r="C20" s="126"/>
      <c r="D20" s="126"/>
      <c r="F20" s="158">
        <f t="shared" si="1"/>
        <v>0</v>
      </c>
    </row>
    <row r="21" spans="1:7" x14ac:dyDescent="0.35">
      <c r="A21" s="35" t="s">
        <v>306</v>
      </c>
      <c r="C21" s="81">
        <v>2061.16</v>
      </c>
      <c r="D21" s="81"/>
      <c r="E21" s="79">
        <v>82.8</v>
      </c>
      <c r="F21" s="79">
        <f t="shared" si="1"/>
        <v>170664.04799999998</v>
      </c>
      <c r="G21">
        <v>11</v>
      </c>
    </row>
    <row r="22" spans="1:7" x14ac:dyDescent="0.35">
      <c r="A22" s="35" t="s">
        <v>306</v>
      </c>
      <c r="B22" s="81">
        <v>1763.82</v>
      </c>
      <c r="C22" s="81"/>
      <c r="D22" s="81"/>
      <c r="E22" s="79">
        <v>73.599999999999994</v>
      </c>
      <c r="F22" s="79">
        <f t="shared" si="1"/>
        <v>129817.15199999999</v>
      </c>
    </row>
    <row r="23" spans="1:7" x14ac:dyDescent="0.35">
      <c r="A23" s="42"/>
      <c r="B23" s="126"/>
      <c r="C23" s="126"/>
      <c r="D23" s="126"/>
      <c r="F23" s="79"/>
    </row>
    <row r="24" spans="1:7" x14ac:dyDescent="0.35">
      <c r="A24" s="35" t="s">
        <v>305</v>
      </c>
      <c r="C24" s="81">
        <v>1817.11</v>
      </c>
      <c r="D24" s="81"/>
      <c r="E24" s="79">
        <v>78.900000000000006</v>
      </c>
      <c r="F24" s="79">
        <f t="shared" si="1"/>
        <v>143369.97899999999</v>
      </c>
      <c r="G24">
        <v>12</v>
      </c>
    </row>
    <row r="25" spans="1:7" x14ac:dyDescent="0.35">
      <c r="A25" s="42"/>
      <c r="B25" s="126"/>
      <c r="C25" s="126"/>
      <c r="D25" s="126"/>
      <c r="F25" s="79"/>
    </row>
    <row r="26" spans="1:7" x14ac:dyDescent="0.35">
      <c r="A26" s="35" t="s">
        <v>300</v>
      </c>
      <c r="B26" s="69">
        <v>2054.96</v>
      </c>
      <c r="C26" s="69"/>
      <c r="D26" s="69"/>
      <c r="E26" s="79">
        <v>131.44</v>
      </c>
      <c r="F26" s="79">
        <f t="shared" si="1"/>
        <v>270103.9424</v>
      </c>
      <c r="G26">
        <v>13</v>
      </c>
    </row>
    <row r="27" spans="1:7" x14ac:dyDescent="0.35">
      <c r="A27" s="35" t="s">
        <v>300</v>
      </c>
      <c r="B27" s="69"/>
      <c r="C27" s="69">
        <v>2028.96</v>
      </c>
      <c r="D27" s="69"/>
      <c r="E27" s="79">
        <v>125</v>
      </c>
      <c r="F27" s="79">
        <f>SUM(B27:D27)*E27</f>
        <v>253620</v>
      </c>
    </row>
    <row r="28" spans="1:7" x14ac:dyDescent="0.35">
      <c r="A28" s="125"/>
      <c r="B28" s="145"/>
      <c r="C28" s="148"/>
      <c r="D28" s="148"/>
      <c r="E28" s="110"/>
      <c r="F28" s="110"/>
    </row>
    <row r="29" spans="1:7" x14ac:dyDescent="0.35">
      <c r="A29" s="125"/>
      <c r="B29" s="85"/>
      <c r="C29" s="85"/>
      <c r="D29" s="85"/>
      <c r="E29" s="86"/>
      <c r="F29" s="87"/>
    </row>
    <row r="30" spans="1:7" x14ac:dyDescent="0.35">
      <c r="A30" s="125"/>
      <c r="B30" s="88"/>
      <c r="C30" s="149"/>
      <c r="D30" s="149"/>
      <c r="E30" s="89"/>
      <c r="F30" s="104"/>
    </row>
    <row r="31" spans="1:7" ht="37" x14ac:dyDescent="0.35">
      <c r="A31" s="129"/>
      <c r="B31" s="144"/>
      <c r="C31" s="150"/>
      <c r="D31" s="150"/>
      <c r="E31" s="203"/>
      <c r="F31" s="207"/>
    </row>
    <row r="32" spans="1:7" x14ac:dyDescent="0.35">
      <c r="F32" s="143"/>
    </row>
    <row r="33" spans="1:6" x14ac:dyDescent="0.35">
      <c r="F33" s="143"/>
    </row>
    <row r="34" spans="1:6" x14ac:dyDescent="0.35">
      <c r="F34" s="143"/>
    </row>
    <row r="35" spans="1:6" x14ac:dyDescent="0.35">
      <c r="F35" s="143"/>
    </row>
    <row r="36" spans="1:6" x14ac:dyDescent="0.35">
      <c r="F36" s="143"/>
    </row>
    <row r="37" spans="1:6" x14ac:dyDescent="0.35">
      <c r="F37" s="143"/>
    </row>
    <row r="38" spans="1:6" x14ac:dyDescent="0.35">
      <c r="F38" s="143"/>
    </row>
    <row r="39" spans="1:6" x14ac:dyDescent="0.35">
      <c r="A39" s="125"/>
      <c r="B39" s="126"/>
      <c r="C39" s="151"/>
      <c r="D39" s="151"/>
      <c r="F39" s="79"/>
    </row>
    <row r="40" spans="1:6" x14ac:dyDescent="0.35">
      <c r="A40" s="125"/>
      <c r="B40" s="126"/>
      <c r="C40" s="151"/>
      <c r="D40" s="151"/>
    </row>
    <row r="41" spans="1:6" x14ac:dyDescent="0.35">
      <c r="A41" s="127"/>
      <c r="B41" s="128"/>
      <c r="C41" s="128"/>
      <c r="D41" s="128"/>
      <c r="E41" s="128"/>
      <c r="F41" s="100"/>
    </row>
    <row r="42" spans="1:6" x14ac:dyDescent="0.35">
      <c r="A42" s="131"/>
      <c r="B42" s="133"/>
      <c r="C42" s="133"/>
      <c r="D42" s="133"/>
      <c r="E42" s="128"/>
      <c r="F42" s="132"/>
    </row>
    <row r="43" spans="1:6" x14ac:dyDescent="0.35">
      <c r="A43" s="192"/>
      <c r="B43" s="95"/>
      <c r="C43" s="95"/>
      <c r="D43" s="95"/>
      <c r="E43" s="128"/>
      <c r="F43" s="106"/>
    </row>
    <row r="44" spans="1:6" x14ac:dyDescent="0.35">
      <c r="A44" s="193"/>
      <c r="C44" s="81"/>
      <c r="D44" s="81"/>
      <c r="E44" s="81"/>
      <c r="F44" s="115"/>
    </row>
    <row r="45" spans="1:6" x14ac:dyDescent="0.35">
      <c r="A45" s="125"/>
      <c r="B45" s="126"/>
      <c r="C45" s="151"/>
      <c r="D45" s="151"/>
    </row>
    <row r="46" spans="1:6" x14ac:dyDescent="0.35">
      <c r="A46" s="135"/>
      <c r="B46" s="136"/>
      <c r="C46" s="152"/>
      <c r="D46" s="152"/>
    </row>
    <row r="47" spans="1:6" x14ac:dyDescent="0.35">
      <c r="A47" s="135"/>
      <c r="B47" s="140"/>
      <c r="C47" s="153"/>
      <c r="D47" s="153"/>
      <c r="E47" s="139"/>
      <c r="F47" s="102" t="e">
        <f>SUM(#REF!)*#REF!</f>
        <v>#REF!</v>
      </c>
    </row>
    <row r="48" spans="1:6" x14ac:dyDescent="0.35">
      <c r="A48" s="135"/>
      <c r="B48" s="137"/>
      <c r="C48" s="154"/>
      <c r="D48" s="154"/>
    </row>
    <row r="49" spans="1:6" x14ac:dyDescent="0.35">
      <c r="A49" s="135"/>
      <c r="B49" s="137"/>
      <c r="C49" s="154"/>
      <c r="D49" s="154"/>
    </row>
    <row r="50" spans="1:6" x14ac:dyDescent="0.35">
      <c r="A50" s="172"/>
      <c r="B50" s="173"/>
      <c r="C50" s="155"/>
      <c r="D50" s="155"/>
    </row>
    <row r="51" spans="1:6" x14ac:dyDescent="0.35">
      <c r="A51" s="172"/>
      <c r="B51" s="173"/>
      <c r="C51" s="155"/>
      <c r="D51" s="155"/>
    </row>
    <row r="52" spans="1:6" x14ac:dyDescent="0.35">
      <c r="A52" s="172"/>
      <c r="B52" s="173"/>
      <c r="C52" s="155"/>
      <c r="D52" s="155"/>
    </row>
    <row r="53" spans="1:6" x14ac:dyDescent="0.35">
      <c r="A53" s="172"/>
      <c r="B53" s="173"/>
      <c r="C53" s="155"/>
      <c r="D53" s="155"/>
    </row>
    <row r="54" spans="1:6" x14ac:dyDescent="0.35">
      <c r="A54" s="113"/>
      <c r="B54" s="114"/>
      <c r="C54" s="156"/>
      <c r="D54" s="156"/>
      <c r="E54"/>
      <c r="F54"/>
    </row>
    <row r="55" spans="1:6" x14ac:dyDescent="0.35">
      <c r="A55" s="113"/>
      <c r="B55" s="114"/>
      <c r="C55" s="156"/>
      <c r="D55" s="156"/>
      <c r="E55"/>
      <c r="F55"/>
    </row>
    <row r="56" spans="1:6" x14ac:dyDescent="0.35">
      <c r="A56" s="113"/>
      <c r="B56" s="114"/>
      <c r="C56" s="156"/>
      <c r="D56" s="156"/>
      <c r="E56"/>
      <c r="F56"/>
    </row>
  </sheetData>
  <mergeCells count="6">
    <mergeCell ref="A51:B51"/>
    <mergeCell ref="A52:B52"/>
    <mergeCell ref="A53:B53"/>
    <mergeCell ref="E31:F31"/>
    <mergeCell ref="A43:A44"/>
    <mergeCell ref="A50:B50"/>
  </mergeCells>
  <phoneticPr fontId="5" type="noConversion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6326-B9F3-43D0-B11A-2518E8E1E21E}">
  <dimension ref="A1:B10"/>
  <sheetViews>
    <sheetView tabSelected="1" zoomScale="180" zoomScaleNormal="180" workbookViewId="0">
      <selection activeCell="B1" sqref="B1:B12"/>
    </sheetView>
  </sheetViews>
  <sheetFormatPr defaultRowHeight="14.5" x14ac:dyDescent="0.35"/>
  <cols>
    <col min="1" max="1" width="26.36328125" bestFit="1" customWidth="1"/>
  </cols>
  <sheetData>
    <row r="1" spans="1:2" x14ac:dyDescent="0.35">
      <c r="A1" t="s">
        <v>308</v>
      </c>
      <c r="B1">
        <v>2430</v>
      </c>
    </row>
    <row r="2" spans="1:2" x14ac:dyDescent="0.35">
      <c r="A2" t="s">
        <v>309</v>
      </c>
      <c r="B2">
        <v>-80</v>
      </c>
    </row>
    <row r="3" spans="1:2" x14ac:dyDescent="0.35">
      <c r="A3" t="s">
        <v>310</v>
      </c>
      <c r="B3">
        <v>460</v>
      </c>
    </row>
    <row r="4" spans="1:2" x14ac:dyDescent="0.35">
      <c r="A4" t="s">
        <v>311</v>
      </c>
      <c r="B4">
        <v>-1380</v>
      </c>
    </row>
    <row r="5" spans="1:2" x14ac:dyDescent="0.35">
      <c r="A5" t="s">
        <v>313</v>
      </c>
      <c r="B5">
        <v>196.8</v>
      </c>
    </row>
    <row r="6" spans="1:2" x14ac:dyDescent="0.35">
      <c r="A6" t="s">
        <v>315</v>
      </c>
      <c r="B6">
        <v>-620</v>
      </c>
    </row>
    <row r="7" spans="1:2" x14ac:dyDescent="0.35">
      <c r="A7" t="s">
        <v>312</v>
      </c>
      <c r="B7">
        <v>3700</v>
      </c>
    </row>
    <row r="8" spans="1:2" x14ac:dyDescent="0.35">
      <c r="A8" t="s">
        <v>316</v>
      </c>
      <c r="B8">
        <v>-2500</v>
      </c>
    </row>
    <row r="9" spans="1:2" x14ac:dyDescent="0.35">
      <c r="A9" t="s">
        <v>314</v>
      </c>
      <c r="B9">
        <v>-7618</v>
      </c>
    </row>
    <row r="10" spans="1:2" x14ac:dyDescent="0.35">
      <c r="A10" t="s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B944-2620-4F87-B7C5-46067FBC3362}">
  <dimension ref="A1:L13"/>
  <sheetViews>
    <sheetView workbookViewId="0">
      <selection activeCell="B1" sqref="B1:B15"/>
    </sheetView>
  </sheetViews>
  <sheetFormatPr defaultRowHeight="14.5" x14ac:dyDescent="0.35"/>
  <cols>
    <col min="1" max="1" width="18.1796875" customWidth="1"/>
  </cols>
  <sheetData>
    <row r="1" spans="1:12" x14ac:dyDescent="0.35">
      <c r="A1" t="s">
        <v>320</v>
      </c>
      <c r="B1">
        <v>-5800</v>
      </c>
    </row>
    <row r="2" spans="1:12" x14ac:dyDescent="0.35">
      <c r="A2" t="s">
        <v>318</v>
      </c>
      <c r="B2">
        <v>-7570</v>
      </c>
    </row>
    <row r="3" spans="1:12" x14ac:dyDescent="0.35">
      <c r="A3" t="s">
        <v>319</v>
      </c>
      <c r="B3">
        <v>-907.5</v>
      </c>
    </row>
    <row r="5" spans="1:12" x14ac:dyDescent="0.35">
      <c r="A5" t="s">
        <v>317</v>
      </c>
      <c r="B5">
        <v>-164.7</v>
      </c>
    </row>
    <row r="6" spans="1:12" x14ac:dyDescent="0.35">
      <c r="A6" t="s">
        <v>321</v>
      </c>
      <c r="B6">
        <v>-5260</v>
      </c>
      <c r="C6" t="s">
        <v>326</v>
      </c>
    </row>
    <row r="7" spans="1:12" x14ac:dyDescent="0.35">
      <c r="A7" t="s">
        <v>324</v>
      </c>
      <c r="B7">
        <v>48000</v>
      </c>
      <c r="C7" t="s">
        <v>327</v>
      </c>
      <c r="J7" t="s">
        <v>330</v>
      </c>
      <c r="K7">
        <v>27.5</v>
      </c>
      <c r="L7" t="s">
        <v>332</v>
      </c>
    </row>
    <row r="8" spans="1:12" x14ac:dyDescent="0.35">
      <c r="A8" t="s">
        <v>325</v>
      </c>
      <c r="B8">
        <v>-9940</v>
      </c>
      <c r="C8" t="s">
        <v>328</v>
      </c>
      <c r="J8" t="s">
        <v>331</v>
      </c>
      <c r="K8">
        <v>20.5</v>
      </c>
      <c r="L8" t="s">
        <v>332</v>
      </c>
    </row>
    <row r="10" spans="1:12" x14ac:dyDescent="0.35">
      <c r="A10" t="s">
        <v>322</v>
      </c>
      <c r="B10">
        <v>418.9</v>
      </c>
    </row>
    <row r="11" spans="1:12" x14ac:dyDescent="0.35">
      <c r="A11" t="s">
        <v>323</v>
      </c>
      <c r="B11">
        <v>-501.5</v>
      </c>
    </row>
    <row r="13" spans="1:12" x14ac:dyDescent="0.35">
      <c r="A13" t="s">
        <v>329</v>
      </c>
      <c r="B1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G403</vt:lpstr>
      <vt:lpstr>G404</vt:lpstr>
      <vt:lpstr>S403</vt:lpstr>
      <vt:lpstr>S404</vt:lpstr>
      <vt:lpstr>تحویلیان</vt:lpstr>
      <vt:lpstr>کم و کسر جنرال</vt:lpstr>
      <vt:lpstr>کم و کسر سوپر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mohammad</cp:lastModifiedBy>
  <dcterms:created xsi:type="dcterms:W3CDTF">2015-06-05T18:17:20Z</dcterms:created>
  <dcterms:modified xsi:type="dcterms:W3CDTF">2026-07-30T11:41:06Z</dcterms:modified>
</cp:coreProperties>
</file>